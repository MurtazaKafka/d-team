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bullock\OneDrive\Documents\"/>
    </mc:Choice>
  </mc:AlternateContent>
  <xr:revisionPtr revIDLastSave="0" documentId="13_ncr:1_{8D39F692-43C0-4C8B-9D70-850F56AC93AA}" xr6:coauthVersionLast="47" xr6:coauthVersionMax="47" xr10:uidLastSave="{00000000-0000-0000-0000-000000000000}"/>
  <bookViews>
    <workbookView xWindow="-108" yWindow="-108" windowWidth="23256" windowHeight="12576" xr2:uid="{C5AC48E6-31C7-4758-81FE-F9571503C1A4}"/>
  </bookViews>
  <sheets>
    <sheet name="Spring2025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Spring2025!$A$2:$DA$21</definedName>
    <definedName name="_Hlk190512290" localSheetId="0">Spring2025!$U$3</definedName>
    <definedName name="_Hlk190543252" localSheetId="0">Spring2025!$U$6</definedName>
    <definedName name="_Hlk190543428" localSheetId="0">Spring2025!$U$15</definedName>
    <definedName name="_Hlk190544394" localSheetId="0">Spring2025!#REF!</definedName>
    <definedName name="_Hlk190557040" localSheetId="0">Spring2025!$U$4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4" i="1" l="1"/>
  <c r="BF24" i="1"/>
  <c r="BG24" i="1"/>
  <c r="BG26" i="1" s="1"/>
  <c r="BH24" i="1"/>
  <c r="BQ24" i="1"/>
  <c r="BS24" i="1"/>
  <c r="BT24" i="1"/>
  <c r="CG24" i="1"/>
  <c r="CF24" i="1"/>
  <c r="CO24" i="1"/>
  <c r="CP24" i="1"/>
  <c r="CQ24" i="1"/>
  <c r="CR24" i="1"/>
  <c r="DA24" i="1"/>
  <c r="CX24" i="1"/>
  <c r="CW24" i="1"/>
  <c r="CV24" i="1"/>
  <c r="CS24" i="1"/>
  <c r="CL24" i="1"/>
  <c r="CK24" i="1"/>
  <c r="CI24" i="1"/>
  <c r="CH24" i="1"/>
  <c r="BY24" i="1"/>
  <c r="BW24" i="1"/>
  <c r="BV24" i="1"/>
  <c r="BU24" i="1"/>
  <c r="BM24" i="1"/>
  <c r="BJ24" i="1"/>
  <c r="BI24" i="1"/>
  <c r="T24" i="1"/>
  <c r="S24" i="1"/>
  <c r="P24" i="1"/>
  <c r="O24" i="1"/>
  <c r="AP34" i="1"/>
  <c r="BG27" i="1"/>
  <c r="U26" i="1"/>
  <c r="U27" i="1" s="1"/>
  <c r="U25" i="1"/>
  <c r="DA23" i="1"/>
  <c r="CZ23" i="1"/>
  <c r="CY23" i="1"/>
  <c r="CX23" i="1"/>
  <c r="CW23" i="1"/>
  <c r="CV23" i="1"/>
  <c r="CU23" i="1"/>
  <c r="CS23" i="1"/>
  <c r="CR23" i="1"/>
  <c r="CQ23" i="1"/>
  <c r="CP23" i="1"/>
  <c r="CO23" i="1"/>
  <c r="CN23" i="1"/>
  <c r="CT23" i="1" s="1"/>
  <c r="CL23" i="1"/>
  <c r="CK23" i="1"/>
  <c r="CM23" i="1" s="1"/>
  <c r="CJ23" i="1"/>
  <c r="CI23" i="1"/>
  <c r="CH23" i="1"/>
  <c r="CF23" i="1"/>
  <c r="CE23" i="1"/>
  <c r="CD23" i="1"/>
  <c r="CG23" i="1" s="1"/>
  <c r="CC23" i="1"/>
  <c r="CB23" i="1"/>
  <c r="CA23" i="1"/>
  <c r="BY23" i="1"/>
  <c r="BX23" i="1"/>
  <c r="BW23" i="1"/>
  <c r="BV23" i="1"/>
  <c r="BU23" i="1"/>
  <c r="BZ23" i="1" s="1"/>
  <c r="BT23" i="1"/>
  <c r="BS23" i="1"/>
  <c r="BR23" i="1"/>
  <c r="BQ23" i="1"/>
  <c r="BP23" i="1"/>
  <c r="BO23" i="1"/>
  <c r="BM23" i="1"/>
  <c r="BL23" i="1"/>
  <c r="BN23" i="1" s="1"/>
  <c r="BK23" i="1"/>
  <c r="BJ23" i="1"/>
  <c r="BI23" i="1"/>
  <c r="BH23" i="1"/>
  <c r="BG23" i="1"/>
  <c r="BF23" i="1"/>
  <c r="BE23" i="1"/>
  <c r="BD23" i="1"/>
  <c r="BC23" i="1"/>
  <c r="BB23" i="1"/>
  <c r="AJ23" i="1" s="1"/>
  <c r="AX23" i="1"/>
  <c r="AW23" i="1"/>
  <c r="AI23" i="1"/>
  <c r="AF23" i="1"/>
  <c r="AE23" i="1"/>
  <c r="AC23" i="1"/>
  <c r="AB23" i="1"/>
  <c r="V23" i="1"/>
  <c r="U23" i="1"/>
  <c r="DD21" i="1"/>
  <c r="DC21" i="1"/>
  <c r="DB21" i="1"/>
  <c r="DD20" i="1"/>
  <c r="DC20" i="1"/>
  <c r="DB20" i="1"/>
  <c r="DD19" i="1"/>
  <c r="DC19" i="1"/>
  <c r="DB19" i="1"/>
  <c r="DD18" i="1"/>
  <c r="DC18" i="1"/>
  <c r="DB18" i="1"/>
  <c r="DD17" i="1"/>
  <c r="DC17" i="1"/>
  <c r="DB17" i="1"/>
  <c r="DD15" i="1"/>
  <c r="DC15" i="1"/>
  <c r="DB15" i="1"/>
  <c r="DD14" i="1"/>
  <c r="DC14" i="1"/>
  <c r="DB14" i="1"/>
  <c r="DD12" i="1"/>
  <c r="DC12" i="1"/>
  <c r="DB12" i="1"/>
  <c r="DD11" i="1"/>
  <c r="DC11" i="1"/>
  <c r="DB11" i="1"/>
  <c r="DD10" i="1"/>
  <c r="DC10" i="1"/>
  <c r="DB10" i="1"/>
  <c r="DD9" i="1"/>
  <c r="DC9" i="1"/>
  <c r="DB9" i="1"/>
  <c r="DD7" i="1"/>
  <c r="DC7" i="1"/>
  <c r="DB7" i="1"/>
  <c r="DD6" i="1"/>
  <c r="DC6" i="1"/>
  <c r="DB6" i="1"/>
  <c r="DD5" i="1"/>
  <c r="DC5" i="1"/>
  <c r="DB5" i="1"/>
  <c r="DD4" i="1"/>
  <c r="DC4" i="1"/>
  <c r="DB4" i="1"/>
  <c r="DD3" i="1"/>
  <c r="DC3" i="1"/>
  <c r="DB3" i="1"/>
  <c r="CZ24" i="1"/>
  <c r="CY24" i="1"/>
  <c r="CU24" i="1"/>
  <c r="CN24" i="1"/>
  <c r="CE24" i="1"/>
  <c r="CD24" i="1"/>
  <c r="BX24" i="1"/>
  <c r="BP24" i="1"/>
  <c r="BL24" i="1"/>
  <c r="BK24" i="1"/>
  <c r="BD24" i="1"/>
  <c r="BC24" i="1"/>
  <c r="R24" i="1"/>
  <c r="Q24" i="1"/>
  <c r="R26" i="1" l="1"/>
  <c r="O26" i="1"/>
  <c r="CT24" i="1"/>
  <c r="AZ24" i="1"/>
  <c r="CJ24" i="1"/>
  <c r="BZ24" i="1"/>
  <c r="BN24" i="1"/>
  <c r="BR24" i="1"/>
  <c r="BA24" i="1"/>
  <c r="BB24" i="1"/>
  <c r="AZ23" i="1"/>
  <c r="BO24" i="1"/>
  <c r="CB24" i="1"/>
  <c r="CA24" i="1"/>
  <c r="CM24" i="1"/>
  <c r="BA23" i="1" l="1"/>
  <c r="AG23" i="1" s="1"/>
  <c r="AD23" i="1"/>
  <c r="CC24" i="1"/>
</calcChain>
</file>

<file path=xl/sharedStrings.xml><?xml version="1.0" encoding="utf-8"?>
<sst xmlns="http://schemas.openxmlformats.org/spreadsheetml/2006/main" count="388" uniqueCount="176">
  <si>
    <t>1st Mtg</t>
  </si>
  <si>
    <t>2nd Mtg</t>
  </si>
  <si>
    <t>1st  Attended</t>
  </si>
  <si>
    <t>Missed Some</t>
  </si>
  <si>
    <t>Absent</t>
  </si>
  <si>
    <t>2nd Attended</t>
  </si>
  <si>
    <t>1st Session Attendance</t>
  </si>
  <si>
    <t>&gt;10min</t>
  </si>
  <si>
    <t>Missing</t>
  </si>
  <si>
    <t>2nd Session Attendance</t>
  </si>
  <si>
    <t>3rd Session Attenance</t>
  </si>
  <si>
    <t>Size</t>
  </si>
  <si>
    <t>Ideology</t>
  </si>
  <si>
    <t>Immigration</t>
  </si>
  <si>
    <t>Presidential Power</t>
  </si>
  <si>
    <t>Gender</t>
  </si>
  <si>
    <t>Score</t>
  </si>
  <si>
    <t>Race</t>
  </si>
  <si>
    <t>Community</t>
  </si>
  <si>
    <t>Age Range</t>
  </si>
  <si>
    <t>Year in School</t>
  </si>
  <si>
    <t>Location</t>
  </si>
  <si>
    <t>TOPIC</t>
  </si>
  <si>
    <t>Team Name</t>
  </si>
  <si>
    <t>Order</t>
  </si>
  <si>
    <t>Format</t>
  </si>
  <si>
    <t>Primary Facilitator</t>
  </si>
  <si>
    <t>Secondary Facilitator</t>
  </si>
  <si>
    <t>Owl</t>
  </si>
  <si>
    <t>Reminder 1</t>
  </si>
  <si>
    <t>2nd W Reminder</t>
  </si>
  <si>
    <t>2nd D Reminder</t>
  </si>
  <si>
    <t>Recording</t>
  </si>
  <si>
    <t>Attendance</t>
  </si>
  <si>
    <t>Dates and Times</t>
  </si>
  <si>
    <t>1st Session Uploads</t>
  </si>
  <si>
    <t>1st  Secondary</t>
  </si>
  <si>
    <t>2nd Session</t>
  </si>
  <si>
    <t>3rd Session</t>
  </si>
  <si>
    <t>1st Session?</t>
  </si>
  <si>
    <t>Welcome email sent</t>
  </si>
  <si>
    <t>Calendar Invite Sent</t>
  </si>
  <si>
    <t>1st mtg Week Reminder  Sent</t>
  </si>
  <si>
    <t>1st mtg 1 Day Reminder Sent</t>
  </si>
  <si>
    <t>1st mtg 1 Hour  Reminder Sent</t>
  </si>
  <si>
    <t xml:space="preserve">2nd mtg Week Reminder </t>
  </si>
  <si>
    <t>2nd 1 Day Reminder</t>
  </si>
  <si>
    <t>2nd 1 Hour  Reminder</t>
  </si>
  <si>
    <t>3rd mtg day reminder</t>
  </si>
  <si>
    <t>3rd 1 Day Reminder</t>
  </si>
  <si>
    <t>3rd mtg hour reminder</t>
  </si>
  <si>
    <t>Primary</t>
  </si>
  <si>
    <t>Backup</t>
  </si>
  <si>
    <t>Flag</t>
  </si>
  <si>
    <t>Assigned</t>
  </si>
  <si>
    <t>Confirmed + Sent New Time</t>
  </si>
  <si>
    <t>Confirmed</t>
  </si>
  <si>
    <t>Sent New Time</t>
  </si>
  <si>
    <t>Pending</t>
  </si>
  <si>
    <t>Unable to Assign</t>
  </si>
  <si>
    <t>Withdrawn</t>
  </si>
  <si>
    <t>Registered</t>
  </si>
  <si>
    <t>Very Conservative</t>
  </si>
  <si>
    <t>Somewhat Conservative</t>
  </si>
  <si>
    <t>Other/Prefer Not to Respond</t>
  </si>
  <si>
    <t>Moderate</t>
  </si>
  <si>
    <t>Somewhat Liberal</t>
  </si>
  <si>
    <t>Very Liberal</t>
  </si>
  <si>
    <t>Ideology Score</t>
  </si>
  <si>
    <t>I1</t>
  </si>
  <si>
    <t>I2</t>
  </si>
  <si>
    <t>I3</t>
  </si>
  <si>
    <t>I4</t>
  </si>
  <si>
    <t>I5</t>
  </si>
  <si>
    <t>Issue 1 Score</t>
  </si>
  <si>
    <t>P1</t>
  </si>
  <si>
    <t>P2</t>
  </si>
  <si>
    <t>P3</t>
  </si>
  <si>
    <t>P4</t>
  </si>
  <si>
    <t>P5</t>
  </si>
  <si>
    <t>Issue 2 Score</t>
  </si>
  <si>
    <t>Viewpoint Diversity Score (Con)</t>
  </si>
  <si>
    <t>Viewpoint Diversity Score (Lib)</t>
  </si>
  <si>
    <t>ID Score</t>
  </si>
  <si>
    <t>M</t>
  </si>
  <si>
    <t>T</t>
  </si>
  <si>
    <t>F</t>
  </si>
  <si>
    <t>Gender Score</t>
  </si>
  <si>
    <t>W</t>
  </si>
  <si>
    <t>NW</t>
  </si>
  <si>
    <t>Diversity Score</t>
  </si>
  <si>
    <t>S</t>
  </si>
  <si>
    <t>NS</t>
  </si>
  <si>
    <t>Community Score</t>
  </si>
  <si>
    <t>18-22</t>
  </si>
  <si>
    <t>23-29</t>
  </si>
  <si>
    <t>30-39</t>
  </si>
  <si>
    <t>40-50</t>
  </si>
  <si>
    <t>51-64</t>
  </si>
  <si>
    <t>65+</t>
  </si>
  <si>
    <t>Age Score</t>
  </si>
  <si>
    <t>First Year</t>
  </si>
  <si>
    <t>Sophomore</t>
  </si>
  <si>
    <t>Junior</t>
  </si>
  <si>
    <t>Senior</t>
  </si>
  <si>
    <t>P</t>
  </si>
  <si>
    <t>Z</t>
  </si>
  <si>
    <t>E</t>
  </si>
  <si>
    <t>C</t>
  </si>
  <si>
    <t>m1030p</t>
  </si>
  <si>
    <t>In-Person</t>
  </si>
  <si>
    <t>First Meeting: Alvarez 313 ; Second Meeting: Alvarez 302</t>
  </si>
  <si>
    <t>DCI Owl</t>
  </si>
  <si>
    <t>Yes</t>
  </si>
  <si>
    <t>Union Owl</t>
  </si>
  <si>
    <t>All</t>
  </si>
  <si>
    <t>m1030v</t>
  </si>
  <si>
    <t>Virtual</t>
  </si>
  <si>
    <t>FELLOWS: ADD YOUR ZOOM ROOM LINK, MEETING ID, and CALL-IN PHONE NUMBER HERE</t>
  </si>
  <si>
    <t>Missing Both</t>
  </si>
  <si>
    <t>m230p</t>
  </si>
  <si>
    <t>Davidson Public Library</t>
  </si>
  <si>
    <t>No</t>
  </si>
  <si>
    <t>m430v</t>
  </si>
  <si>
    <t>m630v2</t>
  </si>
  <si>
    <t>NA</t>
  </si>
  <si>
    <t>m630v1</t>
  </si>
  <si>
    <t>t200p</t>
  </si>
  <si>
    <t>First Meeting: Alvarez 313 ; Second Meeting: Wall 281</t>
  </si>
  <si>
    <t>t630p1</t>
  </si>
  <si>
    <t xml:space="preserve">First Meeting: Wall 281; Second Meeting: Alvarez 313 </t>
  </si>
  <si>
    <t>T&amp;I Owl</t>
  </si>
  <si>
    <t>Needs Gallery</t>
  </si>
  <si>
    <t>t630p2</t>
  </si>
  <si>
    <t>President's Conference Room (Chambers)</t>
  </si>
  <si>
    <t>DNR</t>
  </si>
  <si>
    <t>No Videos</t>
  </si>
  <si>
    <t>No Video</t>
  </si>
  <si>
    <t>t630v1</t>
  </si>
  <si>
    <t>No Owl</t>
  </si>
  <si>
    <t>Need Video</t>
  </si>
  <si>
    <t>Welcome Sent</t>
  </si>
  <si>
    <t>t630v2</t>
  </si>
  <si>
    <t>w230p</t>
  </si>
  <si>
    <t>w430p</t>
  </si>
  <si>
    <t>First Meeting: Wall 281; Second Meeting: Alvarez 302</t>
  </si>
  <si>
    <t>None</t>
  </si>
  <si>
    <t>w700p</t>
  </si>
  <si>
    <t>900 ROOM</t>
  </si>
  <si>
    <t>th430p</t>
  </si>
  <si>
    <t>Alvarez 313</t>
  </si>
  <si>
    <t>Audio</t>
  </si>
  <si>
    <t>th430v</t>
  </si>
  <si>
    <t>f230p</t>
  </si>
  <si>
    <t>Wall 281</t>
  </si>
  <si>
    <t>su100v</t>
  </si>
  <si>
    <t>su300v</t>
  </si>
  <si>
    <t>No Team</t>
  </si>
  <si>
    <t>Team</t>
  </si>
  <si>
    <t>I5 means immigration is good</t>
  </si>
  <si>
    <t>P5 means constraining presidential power is good</t>
  </si>
  <si>
    <t>Your D Team will meet IN PERSON on the following Mondays (10/6 and 11/3) from 10:30 am to 12:30 pm EST.</t>
  </si>
  <si>
    <t>Your D Team will meet VIRTUALLY on the following Mondays (10/6 and 11/3) from 10:30 am to 12:30 pm EST.</t>
  </si>
  <si>
    <t>Your D Team will meet IN PERSON on the following Mondays (10/6 and 11/3) from 2:30 pm to 4:30 pm EST.</t>
  </si>
  <si>
    <t>Your D Team will meet VIRTUALLY on the following Mondays (10/6 and 11/3)  from 4:30 pm to 6:30 pm EST.</t>
  </si>
  <si>
    <t>Your D Team will meet VIRTUALLY on the following Mondays (10/6 and 11/3)  from 6:30 pm to 8:30 pm EST.</t>
  </si>
  <si>
    <t>Your D Team will meet IN PERSON on the following Tuesdays (10/7 and 11/4) from 2:00 pm to 4:00 pm EST.</t>
  </si>
  <si>
    <t>Your D Team will meet IN PERSON on the following Tuesdays (10/7 and 11/4) from 6:30 pm to 8:30 pm EST.</t>
  </si>
  <si>
    <t>Your D Team will meet VIRTUALLY on the following Tuesdays (10/7 and 11/4) from 6:30 pm to 8:30 pm EST.</t>
  </si>
  <si>
    <t>Your D Team will meet IN PERSON on the following Wednesdays (10/8 and 11/5) from 2:30 pm to 4:30 pm EST.</t>
  </si>
  <si>
    <t>Your D Team will meet IN PERSON on the following Wednesdays (10/8 and 11/5) from 4:30 pm to 6:30 pm EST.</t>
  </si>
  <si>
    <t>Your D Team will meet IN PERSON on the following Thursdays (10/9 and 11/6) from 4:30 pm to 6:30 pm EST.</t>
  </si>
  <si>
    <t>Your D Team will meet VIRTUALLY on the following Thursdays (10/9 and 11/6) from 4:30 pm to 6:30 pm EST.</t>
  </si>
  <si>
    <t>Your D Team will meet IN PERSON on the following Fridays (10/10 and 11/7) from 2:30 pm to 4:30 pm EST.</t>
  </si>
  <si>
    <t>Your D Team will meet VIRTUALLY on the following Sundays (10/12 and 11/9) from 1:00 pm to 3:00 pm EST.</t>
  </si>
  <si>
    <t>Your D Team will meet VIRTUALLY on the following Sundays (10/12 and 11/9) from 3:00 pm to 5:00 pm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</si>
</sst>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"/>
      <family val="2"/>
    </font>
    <font>
      <b/>
      <sz val="1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i/>
      <sz val="1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FFC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 textRotation="90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5" borderId="4" xfId="0" applyFont="1" applyFill="1" applyBorder="1" applyAlignment="1">
      <alignment horizontal="left" textRotation="90"/>
    </xf>
    <xf numFmtId="0" fontId="2" fillId="6" borderId="7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 textRotation="90"/>
    </xf>
    <xf numFmtId="0" fontId="2" fillId="7" borderId="7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 textRotation="90"/>
    </xf>
    <xf numFmtId="0" fontId="2" fillId="8" borderId="9" xfId="0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0" fontId="1" fillId="8" borderId="4" xfId="0" applyFont="1" applyFill="1" applyBorder="1" applyAlignment="1">
      <alignment horizontal="left" textRotation="90"/>
    </xf>
    <xf numFmtId="0" fontId="2" fillId="9" borderId="3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 textRotation="90"/>
    </xf>
    <xf numFmtId="0" fontId="1" fillId="10" borderId="4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left" textRotation="90"/>
    </xf>
    <xf numFmtId="0" fontId="1" fillId="11" borderId="3" xfId="0" applyFont="1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1" fillId="12" borderId="10" xfId="0" applyFont="1" applyFill="1" applyBorder="1"/>
    <xf numFmtId="0" fontId="1" fillId="0" borderId="10" xfId="0" applyFont="1" applyBorder="1"/>
    <xf numFmtId="0" fontId="1" fillId="11" borderId="10" xfId="0" applyFont="1" applyFill="1" applyBorder="1"/>
    <xf numFmtId="0" fontId="1" fillId="0" borderId="10" xfId="0" applyFont="1" applyBorder="1" applyAlignment="1">
      <alignment horizontal="center"/>
    </xf>
    <xf numFmtId="0" fontId="1" fillId="13" borderId="10" xfId="0" applyFont="1" applyFill="1" applyBorder="1"/>
    <xf numFmtId="0" fontId="1" fillId="0" borderId="11" xfId="0" applyFont="1" applyBorder="1"/>
    <xf numFmtId="0" fontId="1" fillId="0" borderId="10" xfId="0" applyFont="1" applyBorder="1" applyAlignment="1">
      <alignment horizontal="left"/>
    </xf>
    <xf numFmtId="0" fontId="1" fillId="0" borderId="0" xfId="0" applyFont="1"/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left" textRotation="90"/>
    </xf>
    <xf numFmtId="0" fontId="2" fillId="4" borderId="0" xfId="0" applyFont="1" applyFill="1" applyAlignment="1">
      <alignment horizontal="left" textRotation="90"/>
    </xf>
    <xf numFmtId="0" fontId="2" fillId="14" borderId="0" xfId="0" applyFont="1" applyFill="1" applyAlignment="1">
      <alignment horizontal="left" textRotation="90"/>
    </xf>
    <xf numFmtId="0" fontId="2" fillId="11" borderId="0" xfId="0" applyFont="1" applyFill="1" applyAlignment="1">
      <alignment horizontal="left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4" xfId="0" applyFont="1" applyFill="1" applyBorder="1" applyAlignment="1">
      <alignment horizontal="center" vertical="center" textRotation="90"/>
    </xf>
    <xf numFmtId="0" fontId="1" fillId="2" borderId="14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textRotation="90"/>
    </xf>
    <xf numFmtId="0" fontId="2" fillId="4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textRotation="90"/>
    </xf>
    <xf numFmtId="0" fontId="2" fillId="15" borderId="14" xfId="0" applyFont="1" applyFill="1" applyBorder="1" applyAlignment="1">
      <alignment horizontal="left" vertical="center" textRotation="90"/>
    </xf>
    <xf numFmtId="0" fontId="2" fillId="16" borderId="14" xfId="0" applyFont="1" applyFill="1" applyBorder="1" applyAlignment="1">
      <alignment horizontal="left" vertical="center" textRotation="90"/>
    </xf>
    <xf numFmtId="0" fontId="2" fillId="5" borderId="14" xfId="0" applyFont="1" applyFill="1" applyBorder="1" applyAlignment="1">
      <alignment horizontal="center" vertical="center" textRotation="90"/>
    </xf>
    <xf numFmtId="0" fontId="2" fillId="6" borderId="1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textRotation="90"/>
    </xf>
    <xf numFmtId="0" fontId="2" fillId="7" borderId="14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textRotation="90"/>
    </xf>
    <xf numFmtId="0" fontId="2" fillId="8" borderId="9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8" borderId="14" xfId="0" applyFont="1" applyFill="1" applyBorder="1" applyAlignment="1">
      <alignment horizontal="center" vertical="center" textRotation="90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 textRotation="90"/>
    </xf>
    <xf numFmtId="0" fontId="1" fillId="10" borderId="14" xfId="0" applyFont="1" applyFill="1" applyBorder="1" applyAlignment="1">
      <alignment horizontal="center" vertical="center" textRotation="90"/>
    </xf>
    <xf numFmtId="0" fontId="1" fillId="11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left" vertical="center"/>
    </xf>
    <xf numFmtId="0" fontId="1" fillId="11" borderId="18" xfId="0" applyFont="1" applyFill="1" applyBorder="1" applyAlignment="1">
      <alignment horizontal="left" vertical="center"/>
    </xf>
    <xf numFmtId="0" fontId="1" fillId="5" borderId="0" xfId="0" applyFont="1" applyFill="1"/>
    <xf numFmtId="0" fontId="0" fillId="0" borderId="10" xfId="0" applyBorder="1"/>
    <xf numFmtId="0" fontId="0" fillId="12" borderId="10" xfId="0" applyFill="1" applyBorder="1"/>
    <xf numFmtId="0" fontId="0" fillId="0" borderId="10" xfId="0" applyBorder="1" applyAlignment="1">
      <alignment horizontal="center"/>
    </xf>
    <xf numFmtId="0" fontId="0" fillId="11" borderId="0" xfId="0" applyFill="1"/>
    <xf numFmtId="0" fontId="5" fillId="0" borderId="10" xfId="0" applyFont="1" applyBorder="1"/>
    <xf numFmtId="0" fontId="0" fillId="0" borderId="10" xfId="0" applyBorder="1" applyAlignment="1">
      <alignment horizontal="left"/>
    </xf>
    <xf numFmtId="0" fontId="6" fillId="13" borderId="10" xfId="0" applyFont="1" applyFill="1" applyBorder="1" applyAlignment="1">
      <alignment vertical="center"/>
    </xf>
    <xf numFmtId="0" fontId="0" fillId="0" borderId="11" xfId="0" applyBorder="1" applyAlignment="1">
      <alignment horizontal="center"/>
    </xf>
    <xf numFmtId="0" fontId="5" fillId="17" borderId="10" xfId="0" applyFont="1" applyFill="1" applyBorder="1"/>
    <xf numFmtId="0" fontId="7" fillId="17" borderId="10" xfId="0" applyFont="1" applyFill="1" applyBorder="1"/>
    <xf numFmtId="0" fontId="8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9" fillId="18" borderId="19" xfId="0" applyFont="1" applyFill="1" applyBorder="1"/>
    <xf numFmtId="0" fontId="1" fillId="19" borderId="10" xfId="0" applyFont="1" applyFill="1" applyBorder="1" applyAlignment="1">
      <alignment horizontal="left"/>
    </xf>
    <xf numFmtId="1" fontId="1" fillId="19" borderId="10" xfId="0" applyNumberFormat="1" applyFont="1" applyFill="1" applyBorder="1" applyAlignment="1">
      <alignment horizontal="left"/>
    </xf>
    <xf numFmtId="0" fontId="1" fillId="19" borderId="15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12" borderId="10" xfId="0" applyFont="1" applyFill="1" applyBorder="1"/>
    <xf numFmtId="0" fontId="10" fillId="11" borderId="10" xfId="0" applyFont="1" applyFill="1" applyBorder="1" applyAlignment="1">
      <alignment horizontal="center" vertical="center"/>
    </xf>
    <xf numFmtId="0" fontId="5" fillId="17" borderId="0" xfId="0" applyFont="1" applyFill="1"/>
    <xf numFmtId="0" fontId="9" fillId="18" borderId="10" xfId="0" applyFont="1" applyFill="1" applyBorder="1"/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0" fillId="11" borderId="10" xfId="0" applyFont="1" applyFill="1" applyBorder="1" applyAlignment="1">
      <alignment horizontal="left"/>
    </xf>
    <xf numFmtId="0" fontId="8" fillId="0" borderId="11" xfId="0" applyFont="1" applyBorder="1"/>
    <xf numFmtId="0" fontId="5" fillId="0" borderId="0" xfId="0" applyFont="1"/>
    <xf numFmtId="0" fontId="5" fillId="0" borderId="21" xfId="0" applyFont="1" applyBorder="1"/>
    <xf numFmtId="0" fontId="11" fillId="18" borderId="19" xfId="0" applyFont="1" applyFill="1" applyBorder="1"/>
    <xf numFmtId="0" fontId="7" fillId="0" borderId="10" xfId="0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12" fillId="17" borderId="15" xfId="0" applyFont="1" applyFill="1" applyBorder="1"/>
    <xf numFmtId="0" fontId="5" fillId="17" borderId="15" xfId="0" applyFont="1" applyFill="1" applyBorder="1"/>
    <xf numFmtId="0" fontId="8" fillId="0" borderId="15" xfId="0" applyFont="1" applyBorder="1" applyAlignment="1">
      <alignment vertical="center"/>
    </xf>
    <xf numFmtId="0" fontId="0" fillId="20" borderId="0" xfId="0" applyFill="1"/>
    <xf numFmtId="0" fontId="0" fillId="17" borderId="10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bullock\OneDrive\Documents\DCI%20Fall%202024%20D%20Team%20Registrants.xlsx" TargetMode="External"/><Relationship Id="rId1" Type="http://schemas.openxmlformats.org/officeDocument/2006/relationships/externalLinkPath" Target="file:///G:\My%20Drive\Pending%20(Davidson)\DCI%20Fall%202024%20D%20Team%20Registra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ending%20(Davidson)\Spring%202023%20Fellows%20D%20Team%20Availability_1.28b.xlsx" TargetMode="External"/><Relationship Id="rId1" Type="http://schemas.openxmlformats.org/officeDocument/2006/relationships/externalLinkPath" Target="file:///G:\My%20Drive\Service\DCI\DCI%20(Graham)\D%20Teams\Spring%202023%20Fellows%20D%20Team%20Availability_1.28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bullock\OneDrive\Documents\Spring%202025%20D%20Teams%20Registrants_2.8.25.xlsx" TargetMode="External"/><Relationship Id="rId1" Type="http://schemas.openxmlformats.org/officeDocument/2006/relationships/externalLinkPath" Target="Spring%202025%20D%20Teams%20Registrants_2.8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Pivot"/>
      <sheetName val="Participants"/>
      <sheetName val="From Stata Pivot"/>
      <sheetName val="DCI+Consent+Form+Fall+2024+-+D+"/>
      <sheetName val="From Stata"/>
      <sheetName val="Sheet1"/>
      <sheetName val="Confirmations"/>
      <sheetName val="Ike"/>
      <sheetName val="Melody"/>
      <sheetName val="Graham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Team</v>
          </cell>
          <cell r="BE3" t="str">
            <v>deigood</v>
          </cell>
          <cell r="BH3" t="str">
            <v>m1030</v>
          </cell>
          <cell r="BP3" t="str">
            <v>tu430</v>
          </cell>
          <cell r="CW3" t="str">
            <v>invitednames</v>
          </cell>
          <cell r="CY3" t="str">
            <v>beeninvited</v>
          </cell>
        </row>
        <row r="4">
          <cell r="B4" t="str">
            <v>F1230v</v>
          </cell>
          <cell r="O4"/>
          <cell r="BE4" t="str">
            <v>Somewhat Disagree</v>
          </cell>
          <cell r="BH4">
            <v>0</v>
          </cell>
          <cell r="BP4">
            <v>1</v>
          </cell>
          <cell r="DI4" t="str">
            <v>F</v>
          </cell>
        </row>
        <row r="5">
          <cell r="B5" t="str">
            <v>F1230v</v>
          </cell>
          <cell r="BE5" t="str">
            <v>Strongly Disagree</v>
          </cell>
          <cell r="BH5">
            <v>1</v>
          </cell>
          <cell r="BP5">
            <v>0</v>
          </cell>
          <cell r="DI5" t="str">
            <v>M</v>
          </cell>
        </row>
        <row r="6">
          <cell r="B6" t="str">
            <v>F1230v</v>
          </cell>
          <cell r="BE6" t="str">
            <v>Neither Agree Nor Disagree</v>
          </cell>
          <cell r="BH6">
            <v>1</v>
          </cell>
          <cell r="BP6">
            <v>0</v>
          </cell>
          <cell r="DI6" t="str">
            <v>M</v>
          </cell>
        </row>
        <row r="7">
          <cell r="B7" t="str">
            <v>F1230v</v>
          </cell>
          <cell r="O7"/>
          <cell r="BE7" t="str">
            <v>Somewhat Disagree</v>
          </cell>
          <cell r="BH7">
            <v>0</v>
          </cell>
          <cell r="BP7">
            <v>0</v>
          </cell>
          <cell r="DI7" t="str">
            <v>M</v>
          </cell>
        </row>
        <row r="8">
          <cell r="B8" t="str">
            <v>F1230v</v>
          </cell>
          <cell r="BE8" t="str">
            <v>Neither Agree Nor Disagree</v>
          </cell>
          <cell r="BH8">
            <v>0</v>
          </cell>
          <cell r="BP8">
            <v>0</v>
          </cell>
          <cell r="CW8" t="str">
            <v>Sabin, Tj</v>
          </cell>
          <cell r="CY8">
            <v>1</v>
          </cell>
          <cell r="DI8" t="str">
            <v>M</v>
          </cell>
        </row>
        <row r="9">
          <cell r="B9" t="str">
            <v>F1230v</v>
          </cell>
          <cell r="O9"/>
          <cell r="BE9" t="str">
            <v>Somewhat Agree</v>
          </cell>
          <cell r="BH9">
            <v>1</v>
          </cell>
          <cell r="BP9">
            <v>0</v>
          </cell>
          <cell r="DI9" t="str">
            <v>F</v>
          </cell>
        </row>
        <row r="10">
          <cell r="B10" t="str">
            <v>F1230v</v>
          </cell>
          <cell r="BE10" t="str">
            <v>Somewhat Agree</v>
          </cell>
          <cell r="BH10">
            <v>1</v>
          </cell>
          <cell r="BP10">
            <v>1</v>
          </cell>
          <cell r="DI10" t="str">
            <v>M</v>
          </cell>
        </row>
        <row r="11">
          <cell r="B11" t="str">
            <v>F1230v</v>
          </cell>
          <cell r="BE11" t="str">
            <v>Prefer not to respond</v>
          </cell>
          <cell r="BH11">
            <v>1</v>
          </cell>
          <cell r="BP11">
            <v>0</v>
          </cell>
          <cell r="CW11" t="str">
            <v>I invited Tom Brantley (tombrantley@mac.com), a conservative, last time, and he did participate and, I believe would like to participate again. But I assume you he's already on your list. If I need to invite him again, let me know.</v>
          </cell>
          <cell r="DI11" t="str">
            <v>M</v>
          </cell>
        </row>
        <row r="12">
          <cell r="B12" t="str">
            <v>F1230v</v>
          </cell>
          <cell r="BE12" t="str">
            <v>Strongly Disagree</v>
          </cell>
          <cell r="BH12">
            <v>1</v>
          </cell>
          <cell r="BP12">
            <v>0</v>
          </cell>
          <cell r="DI12" t="str">
            <v>M</v>
          </cell>
        </row>
        <row r="13">
          <cell r="B13" t="str">
            <v>F1230v</v>
          </cell>
          <cell r="O13"/>
        </row>
        <row r="14">
          <cell r="B14" t="str">
            <v>F1230v</v>
          </cell>
          <cell r="O14">
            <v>1</v>
          </cell>
        </row>
        <row r="15">
          <cell r="B15" t="str">
            <v>F230p</v>
          </cell>
          <cell r="O15"/>
        </row>
        <row r="16">
          <cell r="B16" t="str">
            <v>F230p</v>
          </cell>
          <cell r="BE16" t="str">
            <v>Somewhat Disagree</v>
          </cell>
          <cell r="BH16">
            <v>0</v>
          </cell>
          <cell r="BP16">
            <v>0</v>
          </cell>
          <cell r="DI16" t="str">
            <v>F</v>
          </cell>
        </row>
        <row r="17">
          <cell r="B17" t="str">
            <v>F230p</v>
          </cell>
          <cell r="O17"/>
          <cell r="BE17" t="str">
            <v>Somewhat Agree</v>
          </cell>
          <cell r="BH17">
            <v>0</v>
          </cell>
          <cell r="BP17">
            <v>1</v>
          </cell>
          <cell r="DI17" t="str">
            <v>F</v>
          </cell>
        </row>
        <row r="18">
          <cell r="B18" t="str">
            <v>F230p</v>
          </cell>
          <cell r="O18"/>
          <cell r="BE18" t="str">
            <v>Strongly Disagree</v>
          </cell>
          <cell r="BH18">
            <v>0</v>
          </cell>
          <cell r="BP18">
            <v>1</v>
          </cell>
          <cell r="DI18" t="str">
            <v>M</v>
          </cell>
        </row>
        <row r="19">
          <cell r="B19" t="str">
            <v>F230p</v>
          </cell>
          <cell r="BE19" t="str">
            <v>Somewhat Disagree</v>
          </cell>
          <cell r="BH19">
            <v>0</v>
          </cell>
          <cell r="BP19">
            <v>0</v>
          </cell>
          <cell r="CW19" t="str">
            <v>Frank Folger</v>
          </cell>
          <cell r="DI19" t="str">
            <v>M</v>
          </cell>
        </row>
        <row r="20">
          <cell r="B20" t="str">
            <v>F230p</v>
          </cell>
          <cell r="O20"/>
          <cell r="BE20" t="str">
            <v>Somewhat Agree</v>
          </cell>
          <cell r="BH20">
            <v>0</v>
          </cell>
          <cell r="BP20">
            <v>0</v>
          </cell>
          <cell r="DI20" t="str">
            <v>F</v>
          </cell>
        </row>
        <row r="21">
          <cell r="B21" t="str">
            <v>F230p</v>
          </cell>
          <cell r="O21"/>
          <cell r="BE21" t="str">
            <v>Somewhat Disagree</v>
          </cell>
          <cell r="BH21">
            <v>0</v>
          </cell>
          <cell r="BP21">
            <v>0</v>
          </cell>
          <cell r="DI21" t="str">
            <v>M</v>
          </cell>
        </row>
        <row r="22">
          <cell r="B22" t="str">
            <v>F230p</v>
          </cell>
          <cell r="O22">
            <v>1</v>
          </cell>
        </row>
        <row r="23">
          <cell r="B23" t="str">
            <v>F230v</v>
          </cell>
          <cell r="O23"/>
        </row>
        <row r="24">
          <cell r="B24" t="str">
            <v>F230p</v>
          </cell>
          <cell r="O24"/>
          <cell r="BE24" t="str">
            <v>Somewhat Disagree</v>
          </cell>
          <cell r="BH24">
            <v>0</v>
          </cell>
          <cell r="BP24">
            <v>0</v>
          </cell>
          <cell r="DI24" t="str">
            <v>M</v>
          </cell>
        </row>
        <row r="25">
          <cell r="B25" t="str">
            <v>F230v</v>
          </cell>
          <cell r="O25"/>
          <cell r="BE25" t="str">
            <v>Somewhat Agree</v>
          </cell>
          <cell r="BH25">
            <v>1</v>
          </cell>
          <cell r="BP25">
            <v>0</v>
          </cell>
          <cell r="CW25" t="str">
            <v>Ryland Walker ‘02</v>
          </cell>
          <cell r="CY25">
            <v>1</v>
          </cell>
          <cell r="DI25" t="str">
            <v>F</v>
          </cell>
        </row>
        <row r="26">
          <cell r="B26" t="str">
            <v>F230v</v>
          </cell>
          <cell r="O26"/>
          <cell r="BE26" t="str">
            <v>Somewhat Agree</v>
          </cell>
          <cell r="BH26">
            <v>0</v>
          </cell>
          <cell r="BP26">
            <v>0</v>
          </cell>
          <cell r="CW26" t="str">
            <v>Tj Magee, Dominic Njoku, Amare Hill, Cam Willis</v>
          </cell>
          <cell r="CY26">
            <v>1</v>
          </cell>
          <cell r="DI26" t="str">
            <v>M</v>
          </cell>
        </row>
        <row r="27">
          <cell r="B27" t="str">
            <v>F230v</v>
          </cell>
          <cell r="O27"/>
          <cell r="BE27" t="str">
            <v>Strongly Agree</v>
          </cell>
          <cell r="BH27">
            <v>1</v>
          </cell>
          <cell r="BP27">
            <v>0</v>
          </cell>
          <cell r="DI27" t="str">
            <v>M</v>
          </cell>
        </row>
        <row r="28">
          <cell r="B28" t="str">
            <v>F230v</v>
          </cell>
          <cell r="O28"/>
          <cell r="BE28" t="str">
            <v>Strongly Disagree</v>
          </cell>
          <cell r="BH28">
            <v>0</v>
          </cell>
          <cell r="BP28">
            <v>1</v>
          </cell>
          <cell r="DI28" t="str">
            <v>M</v>
          </cell>
        </row>
        <row r="29">
          <cell r="B29" t="str">
            <v>F230v</v>
          </cell>
          <cell r="O29"/>
          <cell r="BE29" t="str">
            <v>Neither Agree Nor Disagree</v>
          </cell>
          <cell r="BH29">
            <v>0</v>
          </cell>
          <cell r="BP29">
            <v>0</v>
          </cell>
          <cell r="DI29" t="str">
            <v>M</v>
          </cell>
        </row>
        <row r="30">
          <cell r="B30" t="str">
            <v>F230v</v>
          </cell>
          <cell r="O30"/>
          <cell r="BE30" t="str">
            <v>Strongly Disagree</v>
          </cell>
          <cell r="BH30">
            <v>0</v>
          </cell>
          <cell r="BP30">
            <v>0</v>
          </cell>
          <cell r="DI30" t="str">
            <v>M</v>
          </cell>
        </row>
        <row r="31">
          <cell r="B31" t="str">
            <v>F230v</v>
          </cell>
          <cell r="O31">
            <v>1</v>
          </cell>
        </row>
        <row r="32">
          <cell r="B32" t="str">
            <v>M1030v</v>
          </cell>
          <cell r="O32"/>
          <cell r="BH32">
            <v>0</v>
          </cell>
        </row>
        <row r="33">
          <cell r="B33" t="str">
            <v>F230v</v>
          </cell>
          <cell r="BE33" t="str">
            <v>Somewhat Agree</v>
          </cell>
          <cell r="BH33">
            <v>0</v>
          </cell>
          <cell r="BP33">
            <v>1</v>
          </cell>
          <cell r="DI33" t="str">
            <v>M</v>
          </cell>
        </row>
        <row r="34">
          <cell r="B34" t="str">
            <v>M1030v</v>
          </cell>
          <cell r="O34"/>
          <cell r="BE34" t="str">
            <v>Somewhat Agree</v>
          </cell>
          <cell r="BH34">
            <v>1</v>
          </cell>
          <cell r="BP34">
            <v>0</v>
          </cell>
          <cell r="DI34" t="str">
            <v>F</v>
          </cell>
        </row>
        <row r="35">
          <cell r="B35" t="str">
            <v>M1030v</v>
          </cell>
          <cell r="O35"/>
          <cell r="BE35" t="str">
            <v>Somewhat Disagree</v>
          </cell>
          <cell r="BH35">
            <v>1</v>
          </cell>
          <cell r="BP35">
            <v>1</v>
          </cell>
          <cell r="DI35" t="str">
            <v>F</v>
          </cell>
        </row>
        <row r="36">
          <cell r="B36" t="str">
            <v>M1030v</v>
          </cell>
          <cell r="O36"/>
          <cell r="BE36" t="str">
            <v>Somewhat Agree</v>
          </cell>
          <cell r="BH36">
            <v>1</v>
          </cell>
          <cell r="BP36">
            <v>1</v>
          </cell>
          <cell r="CW36" t="str">
            <v>Tom Schultz</v>
          </cell>
          <cell r="DI36" t="str">
            <v>F</v>
          </cell>
        </row>
        <row r="37">
          <cell r="B37" t="str">
            <v>M1030v</v>
          </cell>
          <cell r="O37"/>
          <cell r="BE37" t="str">
            <v>Somewhat Agree</v>
          </cell>
          <cell r="BH37">
            <v>1</v>
          </cell>
          <cell r="BP37">
            <v>0</v>
          </cell>
          <cell r="DI37" t="str">
            <v>F</v>
          </cell>
        </row>
        <row r="38">
          <cell r="B38" t="str">
            <v>M1030v</v>
          </cell>
          <cell r="BE38" t="str">
            <v>Strongly Agree</v>
          </cell>
          <cell r="BH38">
            <v>1</v>
          </cell>
          <cell r="BP38">
            <v>0</v>
          </cell>
          <cell r="DI38" t="str">
            <v>F</v>
          </cell>
        </row>
        <row r="39">
          <cell r="B39" t="str">
            <v>M1030v</v>
          </cell>
          <cell r="O39">
            <v>1</v>
          </cell>
          <cell r="BH39">
            <v>1</v>
          </cell>
          <cell r="BP39">
            <v>1</v>
          </cell>
        </row>
        <row r="40">
          <cell r="B40" t="str">
            <v>M1030v</v>
          </cell>
          <cell r="BE40" t="str">
            <v>Somewhat Agree</v>
          </cell>
          <cell r="BH40">
            <v>1</v>
          </cell>
          <cell r="BP40">
            <v>1</v>
          </cell>
          <cell r="DI40" t="str">
            <v>M</v>
          </cell>
        </row>
        <row r="41">
          <cell r="B41" t="str">
            <v>M1030v</v>
          </cell>
          <cell r="O41"/>
          <cell r="BE41" t="str">
            <v>Strongly Agree</v>
          </cell>
          <cell r="BH41">
            <v>1</v>
          </cell>
          <cell r="BP41">
            <v>0</v>
          </cell>
          <cell r="DI41" t="str">
            <v>M</v>
          </cell>
        </row>
        <row r="42">
          <cell r="B42" t="str">
            <v>M230v</v>
          </cell>
          <cell r="O42">
            <v>1</v>
          </cell>
          <cell r="BP42">
            <v>1</v>
          </cell>
        </row>
        <row r="43">
          <cell r="B43" t="str">
            <v>M230v</v>
          </cell>
          <cell r="O43"/>
          <cell r="BP43">
            <v>1</v>
          </cell>
        </row>
        <row r="44">
          <cell r="B44" t="str">
            <v>M1030v</v>
          </cell>
          <cell r="BE44" t="str">
            <v>Somewhat Disagree</v>
          </cell>
          <cell r="BH44">
            <v>1</v>
          </cell>
          <cell r="BP44">
            <v>1</v>
          </cell>
          <cell r="DI44" t="str">
            <v>F</v>
          </cell>
        </row>
        <row r="45">
          <cell r="B45" t="str">
            <v>M230v</v>
          </cell>
          <cell r="O45"/>
          <cell r="BE45" t="str">
            <v>Neither Agree Nor Disagree</v>
          </cell>
          <cell r="BH45">
            <v>0</v>
          </cell>
          <cell r="BP45">
            <v>1</v>
          </cell>
          <cell r="DI45" t="str">
            <v>M</v>
          </cell>
        </row>
        <row r="46">
          <cell r="B46" t="str">
            <v>M230v</v>
          </cell>
          <cell r="O46"/>
          <cell r="BE46" t="str">
            <v>Somewhat Agree</v>
          </cell>
          <cell r="BH46">
            <v>1</v>
          </cell>
          <cell r="BP46">
            <v>1</v>
          </cell>
          <cell r="DI46" t="str">
            <v>M</v>
          </cell>
        </row>
        <row r="47">
          <cell r="B47" t="str">
            <v>M230v</v>
          </cell>
          <cell r="BE47" t="str">
            <v>Strongly Disagree</v>
          </cell>
          <cell r="BH47">
            <v>0</v>
          </cell>
          <cell r="BP47">
            <v>0</v>
          </cell>
          <cell r="DI47" t="str">
            <v>F</v>
          </cell>
        </row>
        <row r="48">
          <cell r="B48" t="str">
            <v>M230v</v>
          </cell>
          <cell r="O48"/>
          <cell r="BE48" t="str">
            <v>Strongly Disagree</v>
          </cell>
          <cell r="BH48">
            <v>0</v>
          </cell>
          <cell r="BP48">
            <v>0</v>
          </cell>
          <cell r="DI48" t="str">
            <v>M</v>
          </cell>
        </row>
        <row r="49">
          <cell r="B49" t="str">
            <v>M230v</v>
          </cell>
          <cell r="O49"/>
          <cell r="BE49" t="str">
            <v>Somewhat Disagree</v>
          </cell>
          <cell r="BH49">
            <v>0</v>
          </cell>
          <cell r="BP49">
            <v>0</v>
          </cell>
          <cell r="DI49" t="str">
            <v>F</v>
          </cell>
        </row>
        <row r="50">
          <cell r="B50" t="str">
            <v>M230v</v>
          </cell>
          <cell r="O50"/>
          <cell r="BE50" t="str">
            <v>Neither Agree Nor Disagree</v>
          </cell>
          <cell r="BH50">
            <v>1</v>
          </cell>
          <cell r="BP50">
            <v>0</v>
          </cell>
          <cell r="DI50" t="str">
            <v>F</v>
          </cell>
        </row>
        <row r="51">
          <cell r="B51" t="str">
            <v>M230v</v>
          </cell>
          <cell r="O51"/>
          <cell r="BE51" t="str">
            <v>Strongly Agree</v>
          </cell>
          <cell r="BH51">
            <v>0</v>
          </cell>
          <cell r="BP51">
            <v>0</v>
          </cell>
          <cell r="DI51" t="str">
            <v>M</v>
          </cell>
        </row>
        <row r="52">
          <cell r="B52" t="str">
            <v>m630p</v>
          </cell>
          <cell r="O52">
            <v>1</v>
          </cell>
          <cell r="BH52">
            <v>0</v>
          </cell>
        </row>
        <row r="53">
          <cell r="B53" t="str">
            <v>M630p</v>
          </cell>
          <cell r="O53"/>
          <cell r="BP53">
            <v>1</v>
          </cell>
        </row>
        <row r="54">
          <cell r="B54" t="str">
            <v>M230v</v>
          </cell>
          <cell r="O54"/>
          <cell r="BE54" t="str">
            <v>Somewhat Disagree</v>
          </cell>
          <cell r="BH54">
            <v>0</v>
          </cell>
          <cell r="BP54">
            <v>1</v>
          </cell>
          <cell r="DI54" t="str">
            <v>M</v>
          </cell>
        </row>
        <row r="55">
          <cell r="B55" t="str">
            <v>M630p</v>
          </cell>
          <cell r="O55"/>
          <cell r="BE55" t="str">
            <v>Strongly Disagree</v>
          </cell>
          <cell r="BH55">
            <v>0</v>
          </cell>
          <cell r="BP55">
            <v>0</v>
          </cell>
          <cell r="CW55" t="str">
            <v>Megan Gray and her husband (forgot his name)</v>
          </cell>
          <cell r="CY55">
            <v>1</v>
          </cell>
          <cell r="DI55" t="str">
            <v>F</v>
          </cell>
        </row>
        <row r="56">
          <cell r="B56" t="str">
            <v>M630p</v>
          </cell>
          <cell r="O56"/>
          <cell r="BE56" t="str">
            <v>Somewhat Disagree</v>
          </cell>
          <cell r="BH56">
            <v>1</v>
          </cell>
          <cell r="BP56">
            <v>0</v>
          </cell>
          <cell r="DI56" t="str">
            <v>M</v>
          </cell>
        </row>
        <row r="57">
          <cell r="B57" t="str">
            <v>M630p</v>
          </cell>
          <cell r="O57"/>
          <cell r="BE57" t="str">
            <v>Neither Agree Nor Disagree</v>
          </cell>
          <cell r="BH57">
            <v>0</v>
          </cell>
          <cell r="BP57">
            <v>0</v>
          </cell>
          <cell r="CW57" t="str">
            <v>Cam Willis, TJ Magee, Sabin Mclaughlin, Amare Hil</v>
          </cell>
          <cell r="CY57">
            <v>1</v>
          </cell>
          <cell r="DI57" t="str">
            <v>M</v>
          </cell>
        </row>
        <row r="58">
          <cell r="B58" t="str">
            <v>M630p</v>
          </cell>
          <cell r="O58"/>
          <cell r="BE58" t="str">
            <v>Neither Agree Nor Disagree</v>
          </cell>
          <cell r="BH58">
            <v>0</v>
          </cell>
          <cell r="BP58">
            <v>0</v>
          </cell>
          <cell r="DI58" t="str">
            <v>M</v>
          </cell>
        </row>
        <row r="59">
          <cell r="B59" t="str">
            <v>M630p</v>
          </cell>
          <cell r="O59"/>
          <cell r="BE59" t="str">
            <v>Somewhat Agree</v>
          </cell>
          <cell r="BH59">
            <v>0</v>
          </cell>
          <cell r="BP59">
            <v>1</v>
          </cell>
          <cell r="DI59" t="str">
            <v>M</v>
          </cell>
        </row>
        <row r="60">
          <cell r="B60" t="str">
            <v>M630p</v>
          </cell>
          <cell r="O60"/>
          <cell r="BE60" t="str">
            <v>Somewhat Agree</v>
          </cell>
          <cell r="BH60">
            <v>1</v>
          </cell>
          <cell r="BP60">
            <v>0</v>
          </cell>
          <cell r="DI60" t="str">
            <v>F</v>
          </cell>
        </row>
        <row r="61">
          <cell r="B61" t="str">
            <v>M630p</v>
          </cell>
          <cell r="O61"/>
          <cell r="BE61" t="str">
            <v>Strongly Disagree</v>
          </cell>
          <cell r="BH61">
            <v>0</v>
          </cell>
          <cell r="BP61">
            <v>1</v>
          </cell>
          <cell r="DI61" t="str">
            <v>F</v>
          </cell>
        </row>
        <row r="62">
          <cell r="B62" t="str">
            <v>m630p</v>
          </cell>
          <cell r="O62"/>
        </row>
        <row r="63">
          <cell r="B63" t="str">
            <v>M630v1</v>
          </cell>
          <cell r="O63">
            <v>1</v>
          </cell>
        </row>
        <row r="64">
          <cell r="B64" t="str">
            <v>M630p</v>
          </cell>
          <cell r="BE64" t="str">
            <v>Strongly Disagree</v>
          </cell>
          <cell r="BH64">
            <v>0</v>
          </cell>
          <cell r="BP64">
            <v>1</v>
          </cell>
          <cell r="DI64" t="str">
            <v>M</v>
          </cell>
        </row>
        <row r="65">
          <cell r="B65" t="str">
            <v>M630v1</v>
          </cell>
          <cell r="O65"/>
          <cell r="BE65" t="str">
            <v>Somewhat Agree</v>
          </cell>
          <cell r="BH65">
            <v>0</v>
          </cell>
          <cell r="BP65">
            <v>0</v>
          </cell>
          <cell r="CW65" t="str">
            <v>N/a</v>
          </cell>
          <cell r="CY65">
            <v>1</v>
          </cell>
          <cell r="DI65" t="str">
            <v>F</v>
          </cell>
        </row>
        <row r="66">
          <cell r="B66" t="str">
            <v>M630v1</v>
          </cell>
          <cell r="O66"/>
          <cell r="BE66" t="str">
            <v>Strongly Disagree</v>
          </cell>
          <cell r="BH66">
            <v>0</v>
          </cell>
          <cell r="BP66">
            <v>1</v>
          </cell>
          <cell r="DI66" t="str">
            <v>M</v>
          </cell>
        </row>
        <row r="67">
          <cell r="B67" t="str">
            <v>M630v1</v>
          </cell>
          <cell r="O67"/>
          <cell r="BE67" t="str">
            <v>Somewhat Agree</v>
          </cell>
          <cell r="BH67">
            <v>0</v>
          </cell>
          <cell r="BP67">
            <v>0</v>
          </cell>
          <cell r="DI67" t="str">
            <v>F</v>
          </cell>
        </row>
        <row r="68">
          <cell r="B68" t="str">
            <v>M630v1</v>
          </cell>
          <cell r="O68"/>
          <cell r="BE68" t="str">
            <v>Strongly Agree</v>
          </cell>
          <cell r="BH68">
            <v>0</v>
          </cell>
          <cell r="BP68">
            <v>0</v>
          </cell>
          <cell r="DI68" t="str">
            <v>F</v>
          </cell>
        </row>
        <row r="69">
          <cell r="B69" t="str">
            <v>M630v1</v>
          </cell>
          <cell r="O69"/>
          <cell r="BE69" t="str">
            <v>Somewhat Agree</v>
          </cell>
          <cell r="BH69">
            <v>0</v>
          </cell>
          <cell r="BP69">
            <v>0</v>
          </cell>
          <cell r="DI69" t="str">
            <v>M</v>
          </cell>
        </row>
        <row r="70">
          <cell r="B70" t="str">
            <v>M630v1</v>
          </cell>
          <cell r="O70"/>
          <cell r="BE70" t="str">
            <v>Strongly Disagree</v>
          </cell>
          <cell r="BH70">
            <v>0</v>
          </cell>
          <cell r="BP70">
            <v>0</v>
          </cell>
          <cell r="DI70" t="str">
            <v>M</v>
          </cell>
        </row>
        <row r="71">
          <cell r="B71" t="str">
            <v>M630v2</v>
          </cell>
          <cell r="O71">
            <v>1</v>
          </cell>
        </row>
        <row r="72">
          <cell r="B72" t="str">
            <v>M630v2</v>
          </cell>
          <cell r="O72"/>
          <cell r="BP72">
            <v>1</v>
          </cell>
        </row>
        <row r="73">
          <cell r="B73" t="str">
            <v>M630v1</v>
          </cell>
          <cell r="BE73" t="str">
            <v>Somewhat Disagree</v>
          </cell>
          <cell r="BH73">
            <v>0</v>
          </cell>
          <cell r="BP73">
            <v>0</v>
          </cell>
          <cell r="CY73">
            <v>1</v>
          </cell>
          <cell r="DI73" t="str">
            <v>M</v>
          </cell>
        </row>
        <row r="74">
          <cell r="B74" t="str">
            <v>M630v2</v>
          </cell>
          <cell r="O74"/>
          <cell r="BE74" t="str">
            <v>Strongly Disagree</v>
          </cell>
          <cell r="BH74">
            <v>0</v>
          </cell>
          <cell r="BP74">
            <v>1</v>
          </cell>
          <cell r="DI74" t="str">
            <v>M</v>
          </cell>
        </row>
        <row r="75">
          <cell r="B75" t="str">
            <v>M630v2</v>
          </cell>
          <cell r="O75"/>
          <cell r="BE75" t="str">
            <v>Prefer not to respond</v>
          </cell>
          <cell r="BH75">
            <v>1</v>
          </cell>
          <cell r="BP75">
            <v>1</v>
          </cell>
          <cell r="DI75" t="str">
            <v>F</v>
          </cell>
        </row>
        <row r="76">
          <cell r="B76" t="str">
            <v>M630v2</v>
          </cell>
          <cell r="O76"/>
          <cell r="BE76" t="str">
            <v>Somewhat Agree</v>
          </cell>
          <cell r="BH76">
            <v>0</v>
          </cell>
          <cell r="BP76">
            <v>0</v>
          </cell>
          <cell r="CW76" t="str">
            <v>Leyla Inal</v>
          </cell>
          <cell r="DI76" t="str">
            <v>F</v>
          </cell>
        </row>
        <row r="77">
          <cell r="B77" t="str">
            <v>M630v2</v>
          </cell>
          <cell r="O77"/>
          <cell r="BE77" t="str">
            <v>Somewhat Agree</v>
          </cell>
          <cell r="BH77">
            <v>1</v>
          </cell>
          <cell r="BP77">
            <v>0</v>
          </cell>
          <cell r="DI77" t="str">
            <v>F</v>
          </cell>
        </row>
        <row r="78">
          <cell r="B78" t="str">
            <v>M630v2</v>
          </cell>
          <cell r="O78"/>
          <cell r="BE78" t="str">
            <v>Strongly Disagree</v>
          </cell>
          <cell r="BH78">
            <v>0</v>
          </cell>
          <cell r="BP78">
            <v>0</v>
          </cell>
          <cell r="DI78" t="str">
            <v>M</v>
          </cell>
        </row>
        <row r="79">
          <cell r="B79" t="str">
            <v>M630v2</v>
          </cell>
          <cell r="BE79" t="str">
            <v>Somewhat Disagree</v>
          </cell>
          <cell r="BH79">
            <v>0</v>
          </cell>
          <cell r="BP79">
            <v>1</v>
          </cell>
          <cell r="DI79" t="str">
            <v>M</v>
          </cell>
        </row>
        <row r="80">
          <cell r="B80" t="str">
            <v>M630v2</v>
          </cell>
          <cell r="O80"/>
          <cell r="BE80" t="str">
            <v>Somewhat Agree</v>
          </cell>
          <cell r="BH80">
            <v>0</v>
          </cell>
          <cell r="BP80">
            <v>1</v>
          </cell>
          <cell r="DI80" t="str">
            <v>M</v>
          </cell>
        </row>
        <row r="81">
          <cell r="B81" t="str">
            <v>Sa100v</v>
          </cell>
          <cell r="O81">
            <v>1</v>
          </cell>
        </row>
        <row r="82">
          <cell r="B82" t="str">
            <v>Sa100v</v>
          </cell>
          <cell r="O82"/>
        </row>
        <row r="83">
          <cell r="B83" t="str">
            <v>Sa100v</v>
          </cell>
          <cell r="BE83" t="str">
            <v>Neither Agree Nor Disagree</v>
          </cell>
          <cell r="BH83">
            <v>0</v>
          </cell>
          <cell r="BP83">
            <v>0</v>
          </cell>
          <cell r="CY83">
            <v>1</v>
          </cell>
          <cell r="DI83" t="str">
            <v>F</v>
          </cell>
        </row>
        <row r="84">
          <cell r="B84" t="str">
            <v>Sa100v</v>
          </cell>
          <cell r="O84"/>
          <cell r="BE84" t="str">
            <v>Strongly Disagree</v>
          </cell>
          <cell r="BH84">
            <v>0</v>
          </cell>
          <cell r="BP84">
            <v>0</v>
          </cell>
          <cell r="DI84" t="str">
            <v>M</v>
          </cell>
        </row>
        <row r="85">
          <cell r="B85" t="str">
            <v>Sa100v</v>
          </cell>
          <cell r="BE85" t="str">
            <v>Somewhat Agree</v>
          </cell>
          <cell r="BH85">
            <v>0</v>
          </cell>
          <cell r="BP85">
            <v>1</v>
          </cell>
          <cell r="DI85" t="str">
            <v>M</v>
          </cell>
        </row>
        <row r="86">
          <cell r="B86" t="str">
            <v>Sa100v</v>
          </cell>
          <cell r="O86"/>
          <cell r="BE86" t="str">
            <v>Somewhat Agree</v>
          </cell>
          <cell r="BH86">
            <v>0</v>
          </cell>
          <cell r="BP86">
            <v>1</v>
          </cell>
          <cell r="DI86" t="str">
            <v>F</v>
          </cell>
        </row>
        <row r="87">
          <cell r="B87" t="str">
            <v>Sa100v</v>
          </cell>
          <cell r="O87"/>
          <cell r="BE87" t="str">
            <v>Neither Agree Nor Disagree</v>
          </cell>
          <cell r="BH87">
            <v>0</v>
          </cell>
          <cell r="BP87">
            <v>1</v>
          </cell>
          <cell r="DI87" t="str">
            <v>M</v>
          </cell>
        </row>
        <row r="88">
          <cell r="B88" t="str">
            <v>Sa100v</v>
          </cell>
          <cell r="O88"/>
          <cell r="BE88" t="str">
            <v>Somewhat Disagree</v>
          </cell>
          <cell r="BH88">
            <v>0</v>
          </cell>
          <cell r="BP88">
            <v>0</v>
          </cell>
          <cell r="DI88" t="str">
            <v>M</v>
          </cell>
        </row>
        <row r="89">
          <cell r="B89" t="str">
            <v>Sa100v</v>
          </cell>
          <cell r="O89"/>
          <cell r="BE89" t="str">
            <v>Somewhat Disagree</v>
          </cell>
          <cell r="BH89">
            <v>0</v>
          </cell>
          <cell r="BP89">
            <v>0</v>
          </cell>
          <cell r="DI89" t="str">
            <v>F</v>
          </cell>
        </row>
        <row r="90">
          <cell r="B90" t="str">
            <v>Sa100v</v>
          </cell>
          <cell r="O90"/>
          <cell r="BE90" t="str">
            <v>Somewhat Disagree</v>
          </cell>
          <cell r="BH90">
            <v>0</v>
          </cell>
          <cell r="BP90">
            <v>0</v>
          </cell>
          <cell r="DI90" t="str">
            <v>M</v>
          </cell>
        </row>
        <row r="91">
          <cell r="B91" t="str">
            <v>Sa100v</v>
          </cell>
          <cell r="O91"/>
        </row>
        <row r="92">
          <cell r="B92" t="str">
            <v>Sa300v</v>
          </cell>
          <cell r="O92">
            <v>1</v>
          </cell>
          <cell r="BP92">
            <v>1</v>
          </cell>
        </row>
        <row r="93">
          <cell r="B93" t="str">
            <v>Sa300v</v>
          </cell>
          <cell r="O93"/>
        </row>
        <row r="94">
          <cell r="B94" t="str">
            <v>Sa300v</v>
          </cell>
          <cell r="O94"/>
          <cell r="BE94" t="str">
            <v>Strongly Disagree</v>
          </cell>
          <cell r="BH94">
            <v>0</v>
          </cell>
          <cell r="BP94">
            <v>0</v>
          </cell>
          <cell r="DI94" t="str">
            <v>M</v>
          </cell>
        </row>
        <row r="95">
          <cell r="B95" t="str">
            <v>Sa300v</v>
          </cell>
          <cell r="O95"/>
          <cell r="BE95" t="str">
            <v>Neither Agree Nor Disagree</v>
          </cell>
          <cell r="BH95">
            <v>0</v>
          </cell>
          <cell r="BP95">
            <v>1</v>
          </cell>
          <cell r="CW95" t="str">
            <v>I was a KA at Davidson who worked to have us disassociate and disband in 2020. I'm going to see if I can invite that email list--some who signed and some who didn't--to join. Not sure if that is possible.</v>
          </cell>
          <cell r="DI95" t="str">
            <v>M</v>
          </cell>
        </row>
        <row r="96">
          <cell r="B96" t="str">
            <v>Sa300v</v>
          </cell>
          <cell r="O96"/>
          <cell r="BE96" t="str">
            <v>Neither Agree Nor Disagree</v>
          </cell>
          <cell r="BH96">
            <v>0</v>
          </cell>
          <cell r="BP96">
            <v>1</v>
          </cell>
          <cell r="DI96" t="str">
            <v>F</v>
          </cell>
        </row>
        <row r="97">
          <cell r="B97" t="str">
            <v>Sa300v</v>
          </cell>
          <cell r="BE97" t="str">
            <v>Prefer not to respond</v>
          </cell>
          <cell r="BH97">
            <v>1</v>
          </cell>
          <cell r="BP97">
            <v>1</v>
          </cell>
          <cell r="DI97" t="str">
            <v>M</v>
          </cell>
        </row>
        <row r="98">
          <cell r="B98" t="str">
            <v>Sa300v</v>
          </cell>
          <cell r="O98"/>
          <cell r="BE98" t="str">
            <v>Somewhat Agree</v>
          </cell>
          <cell r="BH98">
            <v>0</v>
          </cell>
          <cell r="BP98">
            <v>1</v>
          </cell>
          <cell r="DI98" t="str">
            <v>F</v>
          </cell>
        </row>
        <row r="99">
          <cell r="B99" t="str">
            <v>Sa300v</v>
          </cell>
          <cell r="O99"/>
          <cell r="BE99" t="str">
            <v>Somewhat Agree</v>
          </cell>
          <cell r="BH99">
            <v>0</v>
          </cell>
          <cell r="BP99">
            <v>0</v>
          </cell>
          <cell r="DI99" t="str">
            <v>M</v>
          </cell>
        </row>
        <row r="100">
          <cell r="B100" t="str">
            <v>Sa300v</v>
          </cell>
          <cell r="BE100" t="str">
            <v>Strongly Agree</v>
          </cell>
          <cell r="BH100">
            <v>0</v>
          </cell>
          <cell r="BP100">
            <v>0</v>
          </cell>
          <cell r="DI100" t="str">
            <v>F</v>
          </cell>
        </row>
        <row r="101">
          <cell r="B101" t="str">
            <v>Su300p</v>
          </cell>
          <cell r="O101">
            <v>1</v>
          </cell>
          <cell r="BP101">
            <v>1</v>
          </cell>
        </row>
        <row r="102">
          <cell r="B102" t="str">
            <v>Su300p</v>
          </cell>
          <cell r="O102"/>
        </row>
        <row r="103">
          <cell r="B103" t="str">
            <v>Su300p</v>
          </cell>
          <cell r="O103"/>
          <cell r="BE103" t="str">
            <v>Somewhat Disagree</v>
          </cell>
          <cell r="BH103">
            <v>0</v>
          </cell>
          <cell r="BP103">
            <v>0</v>
          </cell>
          <cell r="CW103" t="str">
            <v>I haven't invited anyone.</v>
          </cell>
          <cell r="CY103">
            <v>1</v>
          </cell>
          <cell r="DI103" t="str">
            <v>M</v>
          </cell>
        </row>
        <row r="104">
          <cell r="B104" t="str">
            <v>Su300p</v>
          </cell>
          <cell r="BE104" t="str">
            <v>Somewhat Disagree</v>
          </cell>
          <cell r="BH104">
            <v>0</v>
          </cell>
          <cell r="BP104">
            <v>0</v>
          </cell>
          <cell r="DI104" t="str">
            <v>M</v>
          </cell>
        </row>
        <row r="105">
          <cell r="B105" t="str">
            <v>Su300p</v>
          </cell>
          <cell r="O105"/>
          <cell r="BE105" t="str">
            <v>Strongly Disagree</v>
          </cell>
          <cell r="BH105">
            <v>0</v>
          </cell>
          <cell r="BP105">
            <v>0</v>
          </cell>
          <cell r="DI105" t="str">
            <v>M</v>
          </cell>
        </row>
        <row r="106">
          <cell r="B106" t="str">
            <v>Su300p</v>
          </cell>
          <cell r="BE106" t="str">
            <v>Somewhat Agree</v>
          </cell>
          <cell r="BH106">
            <v>0</v>
          </cell>
          <cell r="BP106">
            <v>1</v>
          </cell>
          <cell r="DI106" t="str">
            <v>F</v>
          </cell>
        </row>
        <row r="107">
          <cell r="B107" t="str">
            <v>Su300p</v>
          </cell>
          <cell r="BE107" t="str">
            <v>Somewhat Disagree</v>
          </cell>
          <cell r="BH107">
            <v>0</v>
          </cell>
          <cell r="BP107">
            <v>0</v>
          </cell>
          <cell r="DI107" t="str">
            <v>F</v>
          </cell>
        </row>
        <row r="108">
          <cell r="B108" t="str">
            <v>Su300p</v>
          </cell>
          <cell r="BE108" t="str">
            <v>Somewhat Agree</v>
          </cell>
          <cell r="BH108">
            <v>0</v>
          </cell>
          <cell r="BP108">
            <v>0</v>
          </cell>
          <cell r="DI108" t="str">
            <v>M</v>
          </cell>
        </row>
        <row r="109">
          <cell r="B109" t="str">
            <v>Su300v</v>
          </cell>
          <cell r="O109">
            <v>1</v>
          </cell>
        </row>
        <row r="110">
          <cell r="B110" t="str">
            <v>Su300v</v>
          </cell>
          <cell r="O110"/>
        </row>
        <row r="111">
          <cell r="B111" t="str">
            <v>Su300v</v>
          </cell>
          <cell r="O111"/>
          <cell r="BE111" t="str">
            <v>Strongly Disagree</v>
          </cell>
          <cell r="BH111">
            <v>1</v>
          </cell>
          <cell r="BP111">
            <v>1</v>
          </cell>
          <cell r="DI111" t="str">
            <v>M</v>
          </cell>
        </row>
        <row r="112">
          <cell r="B112" t="str">
            <v>Su300v</v>
          </cell>
          <cell r="O112"/>
          <cell r="BE112" t="str">
            <v>Somewhat Agree</v>
          </cell>
          <cell r="BH112">
            <v>0</v>
          </cell>
          <cell r="BP112">
            <v>1</v>
          </cell>
          <cell r="DI112" t="str">
            <v>M</v>
          </cell>
        </row>
        <row r="113">
          <cell r="B113" t="str">
            <v>Su300v</v>
          </cell>
          <cell r="O113"/>
          <cell r="BE113" t="str">
            <v>Strongly Disagree</v>
          </cell>
          <cell r="BH113">
            <v>0</v>
          </cell>
          <cell r="BP113">
            <v>1</v>
          </cell>
          <cell r="DI113" t="str">
            <v>M</v>
          </cell>
        </row>
        <row r="114">
          <cell r="B114" t="str">
            <v>Su300v</v>
          </cell>
          <cell r="O114"/>
          <cell r="BE114" t="str">
            <v>Somewhat Disagree</v>
          </cell>
          <cell r="BH114">
            <v>0</v>
          </cell>
          <cell r="BP114">
            <v>1</v>
          </cell>
          <cell r="DI114" t="str">
            <v>M</v>
          </cell>
        </row>
        <row r="115">
          <cell r="B115" t="str">
            <v>su300v</v>
          </cell>
          <cell r="BE115" t="str">
            <v>Strongly Agree</v>
          </cell>
          <cell r="BH115">
            <v>0</v>
          </cell>
          <cell r="BP115">
            <v>0</v>
          </cell>
          <cell r="CW115" t="str">
            <v>Noah Louzan, Myles Cullen, Liam Anderson</v>
          </cell>
          <cell r="DI115" t="str">
            <v>M</v>
          </cell>
        </row>
        <row r="116">
          <cell r="B116" t="str">
            <v>Su300v</v>
          </cell>
          <cell r="BE116" t="str">
            <v>Somewhat Disagree</v>
          </cell>
          <cell r="BP116">
            <v>0</v>
          </cell>
          <cell r="DI116" t="str">
            <v>F</v>
          </cell>
        </row>
        <row r="117">
          <cell r="B117" t="str">
            <v>Su300v</v>
          </cell>
          <cell r="BE117" t="str">
            <v>Somewhat Agree</v>
          </cell>
          <cell r="BH117">
            <v>0</v>
          </cell>
          <cell r="BP117">
            <v>0</v>
          </cell>
          <cell r="DI117" t="str">
            <v>F</v>
          </cell>
        </row>
        <row r="118">
          <cell r="B118" t="str">
            <v>Su300v</v>
          </cell>
          <cell r="O118"/>
          <cell r="BE118" t="str">
            <v>Somewhat Agree</v>
          </cell>
          <cell r="BH118">
            <v>1</v>
          </cell>
          <cell r="BP118">
            <v>0</v>
          </cell>
          <cell r="DI118" t="str">
            <v>F</v>
          </cell>
        </row>
        <row r="119">
          <cell r="B119" t="str">
            <v>Su300v</v>
          </cell>
          <cell r="O119"/>
          <cell r="BE119" t="str">
            <v>Neither Agree Nor Disagree</v>
          </cell>
          <cell r="BH119">
            <v>0</v>
          </cell>
          <cell r="BP119">
            <v>0</v>
          </cell>
          <cell r="DI119" t="str">
            <v>M</v>
          </cell>
        </row>
        <row r="120">
          <cell r="B120" t="str">
            <v>Su300v</v>
          </cell>
          <cell r="BE120" t="str">
            <v>Prefer not to respond</v>
          </cell>
          <cell r="BH120">
            <v>0</v>
          </cell>
          <cell r="BP120">
            <v>1</v>
          </cell>
          <cell r="DI120" t="str">
            <v>F</v>
          </cell>
        </row>
        <row r="121">
          <cell r="B121" t="str">
            <v>Th1230p</v>
          </cell>
          <cell r="O121">
            <v>1</v>
          </cell>
        </row>
        <row r="122">
          <cell r="B122" t="str">
            <v>Th1230p</v>
          </cell>
          <cell r="O122"/>
        </row>
        <row r="123">
          <cell r="B123" t="str">
            <v>Th1230p</v>
          </cell>
          <cell r="O123"/>
          <cell r="BE123" t="str">
            <v>Somewhat Agree</v>
          </cell>
          <cell r="BH123">
            <v>1</v>
          </cell>
          <cell r="BP123">
            <v>0</v>
          </cell>
          <cell r="CY123">
            <v>1</v>
          </cell>
          <cell r="DI123" t="str">
            <v>M</v>
          </cell>
        </row>
        <row r="124">
          <cell r="B124" t="str">
            <v>Th1230p</v>
          </cell>
          <cell r="O124"/>
          <cell r="BE124" t="str">
            <v>Somewhat Agree</v>
          </cell>
          <cell r="BH124">
            <v>0</v>
          </cell>
          <cell r="BP124">
            <v>1</v>
          </cell>
          <cell r="DI124" t="str">
            <v>F</v>
          </cell>
        </row>
        <row r="125">
          <cell r="B125" t="str">
            <v>Th1230p</v>
          </cell>
          <cell r="O125"/>
          <cell r="BE125" t="str">
            <v>Somewhat Agree</v>
          </cell>
          <cell r="BH125">
            <v>0</v>
          </cell>
          <cell r="BP125">
            <v>1</v>
          </cell>
          <cell r="DI125" t="str">
            <v>M</v>
          </cell>
        </row>
        <row r="126">
          <cell r="B126" t="str">
            <v>Th1230p</v>
          </cell>
          <cell r="O126"/>
          <cell r="BE126" t="str">
            <v>Strongly Disagree</v>
          </cell>
          <cell r="BH126">
            <v>0</v>
          </cell>
          <cell r="BP126">
            <v>0</v>
          </cell>
          <cell r="DI126" t="str">
            <v>M</v>
          </cell>
        </row>
        <row r="127">
          <cell r="B127" t="str">
            <v>Th1230p</v>
          </cell>
          <cell r="O127"/>
          <cell r="BE127" t="str">
            <v>Strongly Disagree</v>
          </cell>
          <cell r="BH127">
            <v>0</v>
          </cell>
          <cell r="BP127">
            <v>0</v>
          </cell>
          <cell r="DI127" t="str">
            <v>F</v>
          </cell>
        </row>
        <row r="128">
          <cell r="B128" t="str">
            <v>Th1230p</v>
          </cell>
          <cell r="O128"/>
          <cell r="BE128" t="str">
            <v>Neither Agree Nor Disagree</v>
          </cell>
          <cell r="BH128">
            <v>0</v>
          </cell>
          <cell r="BP128">
            <v>1</v>
          </cell>
          <cell r="DI128" t="str">
            <v>M</v>
          </cell>
        </row>
        <row r="129">
          <cell r="B129" t="str">
            <v>Th1230p</v>
          </cell>
          <cell r="O129"/>
          <cell r="BE129" t="str">
            <v>Prefer not to respond</v>
          </cell>
          <cell r="BH129">
            <v>0</v>
          </cell>
          <cell r="BP129">
            <v>1</v>
          </cell>
          <cell r="DI129" t="str">
            <v>M</v>
          </cell>
        </row>
        <row r="130">
          <cell r="B130" t="str">
            <v>Th1230p</v>
          </cell>
          <cell r="O130"/>
          <cell r="BH130">
            <v>1</v>
          </cell>
        </row>
        <row r="131">
          <cell r="B131" t="str">
            <v>Th1230v</v>
          </cell>
          <cell r="O131">
            <v>1</v>
          </cell>
        </row>
        <row r="132">
          <cell r="B132" t="str">
            <v>Th1230V</v>
          </cell>
          <cell r="O132"/>
        </row>
        <row r="133">
          <cell r="B133" t="str">
            <v>Th1230v</v>
          </cell>
          <cell r="BE133" t="str">
            <v>Neither Agree Nor Disagree</v>
          </cell>
          <cell r="BH133">
            <v>1</v>
          </cell>
          <cell r="BP133">
            <v>0</v>
          </cell>
          <cell r="CY133">
            <v>1</v>
          </cell>
          <cell r="DI133" t="str">
            <v>M</v>
          </cell>
        </row>
        <row r="134">
          <cell r="B134" t="str">
            <v>Th1230v</v>
          </cell>
          <cell r="BE134" t="str">
            <v>Strongly Agree</v>
          </cell>
          <cell r="BH134">
            <v>0</v>
          </cell>
          <cell r="BP134">
            <v>0</v>
          </cell>
          <cell r="DI134" t="str">
            <v>M</v>
          </cell>
        </row>
        <row r="135">
          <cell r="B135" t="str">
            <v>Th1230v</v>
          </cell>
          <cell r="BE135" t="str">
            <v>Somewhat Disagree</v>
          </cell>
          <cell r="BH135">
            <v>0</v>
          </cell>
          <cell r="BP135">
            <v>0</v>
          </cell>
          <cell r="DI135" t="str">
            <v>F</v>
          </cell>
        </row>
        <row r="136">
          <cell r="B136" t="str">
            <v>Th1230v</v>
          </cell>
          <cell r="BE136" t="str">
            <v>Somewhat Agree</v>
          </cell>
          <cell r="BH136">
            <v>1</v>
          </cell>
          <cell r="BP136">
            <v>0</v>
          </cell>
          <cell r="DI136" t="str">
            <v>F</v>
          </cell>
        </row>
        <row r="137">
          <cell r="B137" t="str">
            <v>Th1230v</v>
          </cell>
          <cell r="BE137" t="str">
            <v>Somewhat Disagree</v>
          </cell>
          <cell r="BH137">
            <v>0</v>
          </cell>
          <cell r="BP137">
            <v>0</v>
          </cell>
          <cell r="DI137" t="str">
            <v>M</v>
          </cell>
        </row>
        <row r="138">
          <cell r="B138" t="str">
            <v>Th1230v</v>
          </cell>
          <cell r="BE138" t="str">
            <v>Somewhat Agree</v>
          </cell>
          <cell r="BH138">
            <v>1</v>
          </cell>
          <cell r="BP138">
            <v>0</v>
          </cell>
          <cell r="DI138" t="str">
            <v>M</v>
          </cell>
        </row>
        <row r="139">
          <cell r="B139" t="str">
            <v>Th1230v</v>
          </cell>
          <cell r="BE139" t="str">
            <v>Somewhat Disagree</v>
          </cell>
          <cell r="BH139">
            <v>0</v>
          </cell>
          <cell r="BP139">
            <v>1</v>
          </cell>
          <cell r="DI139" t="str">
            <v>M</v>
          </cell>
        </row>
        <row r="140">
          <cell r="B140" t="str">
            <v>Th430p</v>
          </cell>
          <cell r="O140"/>
          <cell r="BE140" t="str">
            <v>Somewhat Agree</v>
          </cell>
          <cell r="BH140">
            <v>0</v>
          </cell>
          <cell r="BP140">
            <v>1</v>
          </cell>
          <cell r="DI140" t="str">
            <v>F</v>
          </cell>
        </row>
        <row r="141">
          <cell r="B141" t="str">
            <v>Th430p</v>
          </cell>
          <cell r="O141">
            <v>1</v>
          </cell>
          <cell r="BP141">
            <v>1</v>
          </cell>
        </row>
        <row r="142">
          <cell r="B142" t="str">
            <v>Th430p</v>
          </cell>
          <cell r="O142"/>
          <cell r="BH142">
            <v>1</v>
          </cell>
          <cell r="BP142">
            <v>1</v>
          </cell>
        </row>
        <row r="143">
          <cell r="B143" t="str">
            <v>Th430p</v>
          </cell>
          <cell r="O143"/>
          <cell r="BE143" t="str">
            <v>Somewhat Agree</v>
          </cell>
          <cell r="BH143">
            <v>0</v>
          </cell>
          <cell r="BP143">
            <v>0</v>
          </cell>
          <cell r="CY143">
            <v>1</v>
          </cell>
          <cell r="DI143" t="str">
            <v>F</v>
          </cell>
        </row>
        <row r="144">
          <cell r="B144" t="str">
            <v>Th430p</v>
          </cell>
          <cell r="O144"/>
          <cell r="BE144" t="str">
            <v>Somewhat Disagree</v>
          </cell>
          <cell r="BH144">
            <v>0</v>
          </cell>
          <cell r="BP144">
            <v>1</v>
          </cell>
          <cell r="CY144">
            <v>1</v>
          </cell>
          <cell r="DI144" t="str">
            <v>M</v>
          </cell>
        </row>
        <row r="145">
          <cell r="B145" t="str">
            <v>Th430p</v>
          </cell>
          <cell r="O145"/>
          <cell r="BE145" t="str">
            <v>Strongly Disagree</v>
          </cell>
          <cell r="BH145">
            <v>1</v>
          </cell>
          <cell r="BP145">
            <v>1</v>
          </cell>
          <cell r="CY145">
            <v>1</v>
          </cell>
          <cell r="DI145" t="str">
            <v>M</v>
          </cell>
        </row>
        <row r="146">
          <cell r="B146" t="str">
            <v>Th430p</v>
          </cell>
          <cell r="O146"/>
          <cell r="BE146" t="str">
            <v>Neither Agree Nor Disagree</v>
          </cell>
          <cell r="BH146">
            <v>0</v>
          </cell>
          <cell r="BP146">
            <v>0</v>
          </cell>
          <cell r="DI146" t="str">
            <v>F</v>
          </cell>
        </row>
        <row r="147">
          <cell r="B147" t="str">
            <v>Th430p</v>
          </cell>
          <cell r="BE147" t="str">
            <v>Somewhat Agree</v>
          </cell>
          <cell r="BH147">
            <v>0</v>
          </cell>
          <cell r="BP147">
            <v>0</v>
          </cell>
          <cell r="DI147" t="str">
            <v>M</v>
          </cell>
        </row>
        <row r="148">
          <cell r="B148" t="str">
            <v>Th430p</v>
          </cell>
          <cell r="BE148" t="str">
            <v>Somewhat Agree</v>
          </cell>
          <cell r="BH148">
            <v>0</v>
          </cell>
          <cell r="BP148">
            <v>1</v>
          </cell>
          <cell r="DI148" t="str">
            <v>M</v>
          </cell>
        </row>
        <row r="149">
          <cell r="B149" t="str">
            <v>Th430p</v>
          </cell>
          <cell r="O149"/>
          <cell r="BE149" t="str">
            <v>Neither Agree Nor Disagree</v>
          </cell>
          <cell r="BH149">
            <v>0</v>
          </cell>
          <cell r="BP149">
            <v>0</v>
          </cell>
          <cell r="DI149" t="str">
            <v>M</v>
          </cell>
        </row>
        <row r="150">
          <cell r="B150" t="str">
            <v>Th630p</v>
          </cell>
          <cell r="O150"/>
          <cell r="BE150" t="str">
            <v>Somewhat Disagree</v>
          </cell>
          <cell r="BH150">
            <v>0</v>
          </cell>
          <cell r="BP150">
            <v>1</v>
          </cell>
          <cell r="DI150" t="str">
            <v>F</v>
          </cell>
        </row>
        <row r="151">
          <cell r="B151" t="str">
            <v>Th630p</v>
          </cell>
          <cell r="O151">
            <v>1</v>
          </cell>
        </row>
        <row r="152">
          <cell r="B152" t="str">
            <v>Th630p</v>
          </cell>
          <cell r="O152"/>
          <cell r="BH152">
            <v>1</v>
          </cell>
          <cell r="BP152">
            <v>1</v>
          </cell>
        </row>
        <row r="153">
          <cell r="B153" t="str">
            <v>Th630p</v>
          </cell>
          <cell r="O153"/>
          <cell r="BE153" t="str">
            <v>Somewhat Agree</v>
          </cell>
          <cell r="BH153">
            <v>0</v>
          </cell>
          <cell r="BP153">
            <v>0</v>
          </cell>
          <cell r="DI153" t="str">
            <v>M</v>
          </cell>
        </row>
        <row r="154">
          <cell r="B154" t="str">
            <v>Th630p</v>
          </cell>
          <cell r="BE154" t="str">
            <v>Strongly Agree</v>
          </cell>
          <cell r="BH154">
            <v>1</v>
          </cell>
          <cell r="BP154">
            <v>0</v>
          </cell>
          <cell r="DI154" t="str">
            <v>M</v>
          </cell>
        </row>
        <row r="155">
          <cell r="B155" t="str">
            <v>Th630p</v>
          </cell>
          <cell r="O155"/>
          <cell r="BE155" t="str">
            <v>Somewhat Disagree</v>
          </cell>
          <cell r="BH155">
            <v>0</v>
          </cell>
          <cell r="BP155">
            <v>1</v>
          </cell>
          <cell r="DI155" t="str">
            <v>F</v>
          </cell>
        </row>
        <row r="156">
          <cell r="B156" t="str">
            <v>Th630p</v>
          </cell>
          <cell r="O156"/>
          <cell r="BE156" t="str">
            <v>Neither Agree Nor Disagree</v>
          </cell>
          <cell r="BH156">
            <v>0</v>
          </cell>
          <cell r="BP156">
            <v>1</v>
          </cell>
          <cell r="DI156" t="str">
            <v>F</v>
          </cell>
        </row>
        <row r="157">
          <cell r="B157" t="str">
            <v>Th630p</v>
          </cell>
          <cell r="BE157" t="str">
            <v>Strongly Disagree</v>
          </cell>
          <cell r="BH157">
            <v>0</v>
          </cell>
          <cell r="BP157">
            <v>0</v>
          </cell>
          <cell r="DI157" t="str">
            <v>M</v>
          </cell>
        </row>
        <row r="158">
          <cell r="B158" t="str">
            <v>Th630p</v>
          </cell>
          <cell r="O158"/>
          <cell r="BE158" t="str">
            <v>Somewhat Agree</v>
          </cell>
          <cell r="BH158">
            <v>0</v>
          </cell>
          <cell r="BP158">
            <v>1</v>
          </cell>
          <cell r="DI158" t="str">
            <v>F</v>
          </cell>
        </row>
        <row r="159">
          <cell r="B159" t="str">
            <v>Th630p</v>
          </cell>
          <cell r="BE159" t="str">
            <v>Neither Agree Nor Disagree</v>
          </cell>
          <cell r="BH159">
            <v>0</v>
          </cell>
          <cell r="BP159">
            <v>0</v>
          </cell>
          <cell r="DI159" t="str">
            <v>M</v>
          </cell>
        </row>
        <row r="160">
          <cell r="B160" t="str">
            <v>Th630v</v>
          </cell>
          <cell r="BE160" t="str">
            <v>Somewhat Agree</v>
          </cell>
          <cell r="BH160">
            <v>0</v>
          </cell>
          <cell r="BP160">
            <v>1</v>
          </cell>
          <cell r="CW160" t="str">
            <v>None</v>
          </cell>
          <cell r="CY160">
            <v>1</v>
          </cell>
          <cell r="DI160" t="str">
            <v>M</v>
          </cell>
        </row>
        <row r="161">
          <cell r="B161" t="str">
            <v>Th630v</v>
          </cell>
          <cell r="O161">
            <v>1</v>
          </cell>
        </row>
        <row r="162">
          <cell r="B162" t="str">
            <v>Th630v</v>
          </cell>
          <cell r="O162"/>
          <cell r="BP162">
            <v>1</v>
          </cell>
        </row>
        <row r="163">
          <cell r="B163" t="str">
            <v>Th630v</v>
          </cell>
          <cell r="O163"/>
          <cell r="BE163" t="str">
            <v>Strongly Disagree</v>
          </cell>
          <cell r="BH163">
            <v>0</v>
          </cell>
          <cell r="BP163">
            <v>1</v>
          </cell>
          <cell r="CW163" t="str">
            <v>Not applicable</v>
          </cell>
          <cell r="CY163">
            <v>1</v>
          </cell>
          <cell r="DI163" t="str">
            <v>M</v>
          </cell>
        </row>
        <row r="164">
          <cell r="B164" t="str">
            <v>Th630v</v>
          </cell>
          <cell r="O164"/>
          <cell r="BE164" t="str">
            <v>Somewhat Agree</v>
          </cell>
          <cell r="BH164">
            <v>1</v>
          </cell>
          <cell r="BP164">
            <v>0</v>
          </cell>
          <cell r="DI164" t="str">
            <v>F</v>
          </cell>
        </row>
        <row r="165">
          <cell r="B165" t="str">
            <v>Th630v</v>
          </cell>
          <cell r="BE165" t="str">
            <v>Neither Agree Nor Disagree</v>
          </cell>
          <cell r="BH165">
            <v>0</v>
          </cell>
          <cell r="BP165">
            <v>1</v>
          </cell>
          <cell r="DI165" t="str">
            <v>M</v>
          </cell>
        </row>
        <row r="166">
          <cell r="B166" t="str">
            <v>Th630v</v>
          </cell>
          <cell r="O166"/>
          <cell r="BE166" t="str">
            <v>Neither Agree Nor Disagree</v>
          </cell>
          <cell r="BH166">
            <v>0</v>
          </cell>
          <cell r="BP166">
            <v>1</v>
          </cell>
          <cell r="DI166" t="str">
            <v>M</v>
          </cell>
        </row>
        <row r="167">
          <cell r="B167" t="str">
            <v>Th630v</v>
          </cell>
          <cell r="O167"/>
          <cell r="BE167" t="str">
            <v>Somewhat Disagree</v>
          </cell>
          <cell r="BH167">
            <v>0</v>
          </cell>
          <cell r="BP167">
            <v>0</v>
          </cell>
          <cell r="CW167" t="str">
            <v>John Barrow</v>
          </cell>
          <cell r="DI167" t="str">
            <v>M</v>
          </cell>
        </row>
        <row r="168">
          <cell r="B168" t="str">
            <v>Th630v</v>
          </cell>
          <cell r="O168"/>
          <cell r="BE168" t="str">
            <v>Somewhat Agree</v>
          </cell>
          <cell r="BH168">
            <v>0</v>
          </cell>
          <cell r="BP168">
            <v>0</v>
          </cell>
          <cell r="DI168" t="str">
            <v>F</v>
          </cell>
        </row>
        <row r="169">
          <cell r="B169" t="str">
            <v>Th630v</v>
          </cell>
          <cell r="O169"/>
          <cell r="BE169" t="str">
            <v>Somewhat Disagree</v>
          </cell>
          <cell r="BH169">
            <v>0</v>
          </cell>
          <cell r="BP169">
            <v>1</v>
          </cell>
          <cell r="DI169" t="str">
            <v>F</v>
          </cell>
        </row>
        <row r="170">
          <cell r="B170" t="str">
            <v>Tu200p</v>
          </cell>
          <cell r="O170"/>
          <cell r="BE170" t="str">
            <v>Neither Agree Nor Disagree</v>
          </cell>
          <cell r="BH170">
            <v>0</v>
          </cell>
          <cell r="BP170">
            <v>0</v>
          </cell>
          <cell r="DI170" t="str">
            <v>F</v>
          </cell>
        </row>
        <row r="171">
          <cell r="B171" t="str">
            <v>Tu200p</v>
          </cell>
          <cell r="O171"/>
          <cell r="BH171">
            <v>1</v>
          </cell>
        </row>
        <row r="172">
          <cell r="B172" t="str">
            <v>Tu200p</v>
          </cell>
          <cell r="O172"/>
        </row>
        <row r="173">
          <cell r="B173" t="str">
            <v>Tu200p</v>
          </cell>
          <cell r="O173"/>
          <cell r="BE173" t="str">
            <v>Strongly Disagree</v>
          </cell>
          <cell r="BH173">
            <v>0</v>
          </cell>
          <cell r="BP173">
            <v>0</v>
          </cell>
          <cell r="DI173" t="str">
            <v>M</v>
          </cell>
        </row>
        <row r="174">
          <cell r="B174" t="str">
            <v>Tu200p</v>
          </cell>
          <cell r="BE174" t="str">
            <v>Strongly Agree</v>
          </cell>
          <cell r="BH174">
            <v>0</v>
          </cell>
          <cell r="BP174">
            <v>0</v>
          </cell>
          <cell r="DI174" t="str">
            <v>F</v>
          </cell>
        </row>
        <row r="175">
          <cell r="B175" t="str">
            <v>Tu200p</v>
          </cell>
          <cell r="BE175" t="str">
            <v>Strongly Agree</v>
          </cell>
          <cell r="BH175">
            <v>0</v>
          </cell>
          <cell r="BP175">
            <v>1</v>
          </cell>
          <cell r="DI175" t="str">
            <v>F</v>
          </cell>
        </row>
        <row r="176">
          <cell r="B176" t="str">
            <v>Tu200p</v>
          </cell>
          <cell r="BE176" t="str">
            <v>Neither Agree Nor Disagree</v>
          </cell>
          <cell r="BH176">
            <v>0</v>
          </cell>
          <cell r="BP176">
            <v>0</v>
          </cell>
          <cell r="DI176" t="str">
            <v>F</v>
          </cell>
        </row>
        <row r="177">
          <cell r="B177" t="str">
            <v>Tu200p</v>
          </cell>
          <cell r="BE177" t="str">
            <v>Somewhat Disagree</v>
          </cell>
          <cell r="BH177">
            <v>0</v>
          </cell>
          <cell r="BP177">
            <v>1</v>
          </cell>
          <cell r="DI177" t="str">
            <v>M</v>
          </cell>
        </row>
        <row r="178">
          <cell r="B178" t="str">
            <v>Tu200p</v>
          </cell>
          <cell r="BE178" t="str">
            <v>Strongly Disagree</v>
          </cell>
          <cell r="BH178">
            <v>0</v>
          </cell>
          <cell r="BP178">
            <v>1</v>
          </cell>
          <cell r="DI178" t="str">
            <v>M</v>
          </cell>
        </row>
        <row r="179">
          <cell r="B179" t="str">
            <v>Tu630v1</v>
          </cell>
          <cell r="O179"/>
          <cell r="BE179" t="str">
            <v>Somewhat Agree</v>
          </cell>
          <cell r="BH179">
            <v>0</v>
          </cell>
          <cell r="BP179">
            <v>0</v>
          </cell>
          <cell r="DI179" t="str">
            <v>F</v>
          </cell>
        </row>
        <row r="180">
          <cell r="B180" t="str">
            <v>Tu630v1</v>
          </cell>
          <cell r="O180">
            <v>1</v>
          </cell>
          <cell r="BP180">
            <v>1</v>
          </cell>
        </row>
        <row r="181">
          <cell r="B181" t="str">
            <v>Tu630v1</v>
          </cell>
          <cell r="O181"/>
        </row>
        <row r="182">
          <cell r="B182" t="str">
            <v>Tu630v1</v>
          </cell>
          <cell r="O182"/>
          <cell r="BE182"/>
          <cell r="BH182"/>
          <cell r="BP182">
            <v>1</v>
          </cell>
          <cell r="CW182"/>
          <cell r="CY182"/>
          <cell r="DI182"/>
        </row>
        <row r="183">
          <cell r="B183" t="str">
            <v>Tu630v1</v>
          </cell>
          <cell r="BE183" t="str">
            <v>Neither Agree Nor Disagree</v>
          </cell>
          <cell r="BH183">
            <v>0</v>
          </cell>
          <cell r="BP183">
            <v>0</v>
          </cell>
          <cell r="CW183" t="str">
            <v>Maureen Garrity, Mary Beth Bongiovanni</v>
          </cell>
          <cell r="DI183" t="str">
            <v>F</v>
          </cell>
        </row>
        <row r="184">
          <cell r="B184" t="str">
            <v>Tu630v1</v>
          </cell>
          <cell r="O184"/>
          <cell r="BE184" t="str">
            <v>Neither Agree Nor Disagree</v>
          </cell>
          <cell r="BH184">
            <v>0</v>
          </cell>
          <cell r="BP184">
            <v>1</v>
          </cell>
          <cell r="DI184" t="str">
            <v>M</v>
          </cell>
        </row>
        <row r="185">
          <cell r="B185" t="str">
            <v>Tu630v1</v>
          </cell>
          <cell r="O185"/>
          <cell r="BE185" t="str">
            <v>Somewhat Disagree</v>
          </cell>
          <cell r="BH185">
            <v>1</v>
          </cell>
          <cell r="BP185">
            <v>1</v>
          </cell>
          <cell r="CY185">
            <v>1</v>
          </cell>
          <cell r="DI185" t="str">
            <v>M</v>
          </cell>
        </row>
        <row r="186">
          <cell r="B186" t="str">
            <v>Tu630v1</v>
          </cell>
          <cell r="O186"/>
          <cell r="BE186" t="str">
            <v>Somewhat Disagree</v>
          </cell>
          <cell r="BH186">
            <v>0</v>
          </cell>
          <cell r="BP186">
            <v>0</v>
          </cell>
          <cell r="DI186" t="str">
            <v>M</v>
          </cell>
        </row>
        <row r="187">
          <cell r="B187" t="str">
            <v>Tu630v1</v>
          </cell>
          <cell r="O187"/>
          <cell r="BE187" t="str">
            <v>Neither Agree Nor Disagree</v>
          </cell>
          <cell r="BH187">
            <v>0</v>
          </cell>
          <cell r="BP187">
            <v>1</v>
          </cell>
          <cell r="DI187" t="str">
            <v>F</v>
          </cell>
        </row>
        <row r="188">
          <cell r="B188" t="str">
            <v>Tu630v2</v>
          </cell>
          <cell r="O188"/>
          <cell r="BE188" t="str">
            <v>Strongly Disagree</v>
          </cell>
          <cell r="BH188">
            <v>0</v>
          </cell>
          <cell r="BP188">
            <v>0</v>
          </cell>
          <cell r="CW188" t="str">
            <v>Kara Earle Daley, Mordecai Scott</v>
          </cell>
          <cell r="CY188">
            <v>1</v>
          </cell>
          <cell r="DI188" t="str">
            <v>M</v>
          </cell>
        </row>
        <row r="189">
          <cell r="B189" t="str">
            <v>Tu630v2</v>
          </cell>
          <cell r="O189">
            <v>1</v>
          </cell>
        </row>
        <row r="190">
          <cell r="B190" t="str">
            <v>Tu630v2</v>
          </cell>
          <cell r="O190"/>
          <cell r="BP190">
            <v>1</v>
          </cell>
        </row>
        <row r="191">
          <cell r="B191" t="str">
            <v>Tu630v2</v>
          </cell>
          <cell r="O191"/>
          <cell r="BE191" t="str">
            <v>Strongly Disagree</v>
          </cell>
          <cell r="BH191">
            <v>0</v>
          </cell>
          <cell r="BP191">
            <v>0</v>
          </cell>
          <cell r="DI191" t="str">
            <v>F</v>
          </cell>
        </row>
        <row r="192">
          <cell r="B192" t="str">
            <v>Tu630v2</v>
          </cell>
          <cell r="BE192" t="str">
            <v>Somewhat Agree</v>
          </cell>
          <cell r="BH192">
            <v>0</v>
          </cell>
          <cell r="BP192">
            <v>1</v>
          </cell>
          <cell r="CW192" t="str">
            <v>John Kenyon; Jonah Swann; Betsy Noble; Jenn Caldwell</v>
          </cell>
          <cell r="DI192" t="str">
            <v>F</v>
          </cell>
        </row>
        <row r="193">
          <cell r="B193" t="str">
            <v>Tu630v2</v>
          </cell>
          <cell r="O193"/>
          <cell r="BE193" t="str">
            <v>Somewhat Agree</v>
          </cell>
          <cell r="BH193">
            <v>0</v>
          </cell>
          <cell r="BP193">
            <v>0</v>
          </cell>
          <cell r="DI193" t="str">
            <v>F</v>
          </cell>
        </row>
        <row r="194">
          <cell r="B194" t="str">
            <v>Tu630v2</v>
          </cell>
          <cell r="O194"/>
          <cell r="BE194" t="str">
            <v>Strongly Agree</v>
          </cell>
          <cell r="BH194">
            <v>0</v>
          </cell>
          <cell r="BP194">
            <v>0</v>
          </cell>
          <cell r="DI194" t="str">
            <v>F</v>
          </cell>
        </row>
        <row r="195">
          <cell r="B195" t="str">
            <v>Tu630v2</v>
          </cell>
          <cell r="O195"/>
          <cell r="BE195" t="str">
            <v>Strongly Disagree</v>
          </cell>
          <cell r="BH195">
            <v>0</v>
          </cell>
          <cell r="BP195">
            <v>0</v>
          </cell>
          <cell r="DI195" t="str">
            <v>M</v>
          </cell>
        </row>
        <row r="196">
          <cell r="B196" t="str">
            <v>Tu630v3</v>
          </cell>
          <cell r="O196"/>
          <cell r="BE196" t="str">
            <v>Strongly Disagree</v>
          </cell>
          <cell r="BH196">
            <v>0</v>
          </cell>
          <cell r="BP196">
            <v>0</v>
          </cell>
          <cell r="CW196" t="str">
            <v>Sabin Mclaughlin, Camron Willis, Dominic Njoku, Amare Hill</v>
          </cell>
          <cell r="CY196">
            <v>1</v>
          </cell>
          <cell r="DI196" t="str">
            <v>M</v>
          </cell>
        </row>
        <row r="197">
          <cell r="B197" t="str">
            <v>Tu630v3</v>
          </cell>
          <cell r="O197">
            <v>1</v>
          </cell>
          <cell r="BP197">
            <v>1</v>
          </cell>
        </row>
        <row r="198">
          <cell r="B198" t="str">
            <v>Tu630v3</v>
          </cell>
          <cell r="O198"/>
        </row>
        <row r="199">
          <cell r="B199" t="str">
            <v>Tu630v3</v>
          </cell>
          <cell r="BE199" t="str">
            <v>Somewhat Agree</v>
          </cell>
          <cell r="BH199">
            <v>0</v>
          </cell>
          <cell r="BP199">
            <v>0</v>
          </cell>
          <cell r="CW199" t="str">
            <v>Howard Booth</v>
          </cell>
          <cell r="DI199" t="str">
            <v>F</v>
          </cell>
        </row>
        <row r="200">
          <cell r="B200" t="str">
            <v>Tu630v3</v>
          </cell>
          <cell r="O200"/>
          <cell r="BE200" t="str">
            <v>Somewhat Agree</v>
          </cell>
          <cell r="BH200">
            <v>0</v>
          </cell>
          <cell r="BP200">
            <v>0</v>
          </cell>
          <cell r="DI200" t="str">
            <v>F</v>
          </cell>
        </row>
        <row r="201">
          <cell r="B201" t="str">
            <v>Tu630v3</v>
          </cell>
          <cell r="O201"/>
          <cell r="BE201" t="str">
            <v>Strongly Disagree</v>
          </cell>
          <cell r="BH201">
            <v>0</v>
          </cell>
          <cell r="BP201">
            <v>1</v>
          </cell>
          <cell r="CW201" t="str">
            <v>Eric Helms</v>
          </cell>
          <cell r="DI201" t="str">
            <v>F</v>
          </cell>
        </row>
        <row r="202">
          <cell r="B202" t="str">
            <v>Tu630v3</v>
          </cell>
          <cell r="O202"/>
          <cell r="BE202" t="str">
            <v>Neither Agree Nor Disagree</v>
          </cell>
          <cell r="BH202">
            <v>0</v>
          </cell>
          <cell r="BP202">
            <v>0</v>
          </cell>
          <cell r="DI202" t="str">
            <v>F</v>
          </cell>
        </row>
        <row r="203">
          <cell r="B203" t="str">
            <v>Tu630v3</v>
          </cell>
          <cell r="O203"/>
          <cell r="BE203" t="str">
            <v>Somewhat Agree</v>
          </cell>
          <cell r="BH203">
            <v>0</v>
          </cell>
          <cell r="BP203">
            <v>0</v>
          </cell>
          <cell r="DI203" t="str">
            <v>F</v>
          </cell>
        </row>
        <row r="204">
          <cell r="B204" t="str">
            <v>Tu630v3</v>
          </cell>
          <cell r="BE204" t="str">
            <v>Somewhat Disagree</v>
          </cell>
          <cell r="BH204">
            <v>0</v>
          </cell>
          <cell r="BP204">
            <v>1</v>
          </cell>
          <cell r="DI204" t="str">
            <v>M</v>
          </cell>
        </row>
        <row r="205">
          <cell r="B205" t="str">
            <v>Tu630v3</v>
          </cell>
          <cell r="O205"/>
          <cell r="BE205" t="str">
            <v>Somewhat Disagree</v>
          </cell>
          <cell r="BH205">
            <v>0</v>
          </cell>
          <cell r="BP205">
            <v>0</v>
          </cell>
          <cell r="DI205" t="str">
            <v>M</v>
          </cell>
        </row>
        <row r="206">
          <cell r="B206" t="str">
            <v>W430v</v>
          </cell>
          <cell r="O206"/>
          <cell r="BE206" t="str">
            <v>Strongly Disagree</v>
          </cell>
          <cell r="BH206">
            <v>0</v>
          </cell>
          <cell r="BP206">
            <v>1</v>
          </cell>
          <cell r="CY206">
            <v>1</v>
          </cell>
          <cell r="DI206" t="str">
            <v>F</v>
          </cell>
        </row>
        <row r="207">
          <cell r="B207" t="str">
            <v>W430v</v>
          </cell>
          <cell r="O207">
            <v>1</v>
          </cell>
        </row>
        <row r="208">
          <cell r="B208" t="str">
            <v>W430v</v>
          </cell>
          <cell r="O208"/>
        </row>
        <row r="209">
          <cell r="B209" t="str">
            <v>W430v</v>
          </cell>
          <cell r="O209"/>
          <cell r="BE209" t="str">
            <v>Prefer not to respond</v>
          </cell>
          <cell r="BH209">
            <v>0</v>
          </cell>
          <cell r="BP209">
            <v>1</v>
          </cell>
          <cell r="DI209" t="str">
            <v>F</v>
          </cell>
        </row>
        <row r="210">
          <cell r="B210" t="str">
            <v>W430v</v>
          </cell>
          <cell r="O210"/>
          <cell r="BE210" t="str">
            <v>Somewhat Disagree</v>
          </cell>
          <cell r="BH210">
            <v>0</v>
          </cell>
          <cell r="BP210">
            <v>1</v>
          </cell>
          <cell r="DI210" t="str">
            <v>F</v>
          </cell>
        </row>
        <row r="211">
          <cell r="B211" t="str">
            <v>W430v</v>
          </cell>
          <cell r="BE211" t="str">
            <v>Neither Agree Nor Disagree</v>
          </cell>
          <cell r="BH211">
            <v>0</v>
          </cell>
          <cell r="BP211">
            <v>0</v>
          </cell>
          <cell r="DI211" t="str">
            <v>M</v>
          </cell>
        </row>
        <row r="212">
          <cell r="B212" t="str">
            <v>W430v</v>
          </cell>
          <cell r="O212"/>
          <cell r="BE212" t="str">
            <v>Strongly Agree</v>
          </cell>
          <cell r="BH212">
            <v>0</v>
          </cell>
          <cell r="BP212">
            <v>1</v>
          </cell>
          <cell r="DI212" t="str">
            <v>M</v>
          </cell>
        </row>
        <row r="213">
          <cell r="B213" t="str">
            <v>W430v</v>
          </cell>
          <cell r="O213"/>
          <cell r="BE213" t="str">
            <v>Somewhat Agree</v>
          </cell>
          <cell r="BH213">
            <v>0</v>
          </cell>
          <cell r="BP213">
            <v>1</v>
          </cell>
          <cell r="DI213" t="str">
            <v>F</v>
          </cell>
        </row>
        <row r="214">
          <cell r="B214" t="str">
            <v>W430v</v>
          </cell>
          <cell r="BE214" t="str">
            <v>Somewhat Agree</v>
          </cell>
          <cell r="BH214">
            <v>0</v>
          </cell>
          <cell r="BP214">
            <v>1</v>
          </cell>
          <cell r="CW214" t="str">
            <v>Julie Pace, Leila Salisbury, Mary Jo Dendy, Katarina Salisbury</v>
          </cell>
          <cell r="DI214" t="str">
            <v>M</v>
          </cell>
        </row>
        <row r="215">
          <cell r="B215" t="str">
            <v>w630p1</v>
          </cell>
          <cell r="O215"/>
          <cell r="BE215" t="str">
            <v>Somewhat Disagree</v>
          </cell>
          <cell r="BH215">
            <v>0</v>
          </cell>
          <cell r="BP215">
            <v>0</v>
          </cell>
          <cell r="CW215" t="str">
            <v>ben minikel, liam anderson</v>
          </cell>
          <cell r="DI215" t="str">
            <v>M</v>
          </cell>
        </row>
        <row r="216">
          <cell r="B216" t="str">
            <v>w630p1</v>
          </cell>
          <cell r="O216">
            <v>1</v>
          </cell>
        </row>
        <row r="217">
          <cell r="B217" t="str">
            <v>w630p1</v>
          </cell>
          <cell r="O217"/>
        </row>
        <row r="218">
          <cell r="B218" t="str">
            <v>W630p1</v>
          </cell>
          <cell r="BE218" t="str">
            <v>Somewhat Agree</v>
          </cell>
          <cell r="BH218">
            <v>0</v>
          </cell>
          <cell r="BP218">
            <v>1</v>
          </cell>
          <cell r="DI218" t="str">
            <v>F</v>
          </cell>
        </row>
        <row r="219">
          <cell r="B219" t="str">
            <v>W630p1</v>
          </cell>
          <cell r="BE219" t="str">
            <v>Neither Agree Nor Disagree</v>
          </cell>
          <cell r="BH219">
            <v>0</v>
          </cell>
          <cell r="BP219">
            <v>0</v>
          </cell>
          <cell r="DI219" t="str">
            <v>M</v>
          </cell>
        </row>
        <row r="220">
          <cell r="B220" t="str">
            <v>w630p1</v>
          </cell>
          <cell r="O220"/>
          <cell r="BE220" t="str">
            <v>Somewhat Disagree</v>
          </cell>
          <cell r="BH220">
            <v>0</v>
          </cell>
          <cell r="BP220">
            <v>1</v>
          </cell>
          <cell r="DI220" t="str">
            <v>M</v>
          </cell>
        </row>
        <row r="221">
          <cell r="B221" t="str">
            <v>W630p1</v>
          </cell>
          <cell r="BE221" t="str">
            <v>Strongly Disagree</v>
          </cell>
          <cell r="BH221">
            <v>0</v>
          </cell>
          <cell r="BP221">
            <v>1</v>
          </cell>
          <cell r="DI221" t="str">
            <v>F</v>
          </cell>
        </row>
        <row r="222">
          <cell r="B222" t="str">
            <v>w630p1</v>
          </cell>
          <cell r="O222"/>
          <cell r="BE222" t="str">
            <v>Strongly Disagree</v>
          </cell>
          <cell r="BH222">
            <v>0</v>
          </cell>
          <cell r="BP222">
            <v>0</v>
          </cell>
          <cell r="DI222" t="str">
            <v>M</v>
          </cell>
        </row>
        <row r="223">
          <cell r="B223" t="str">
            <v>w630p2</v>
          </cell>
          <cell r="O223"/>
          <cell r="BE223" t="str">
            <v>Somewhat Agree</v>
          </cell>
          <cell r="BH223">
            <v>0</v>
          </cell>
          <cell r="BP223">
            <v>0</v>
          </cell>
          <cell r="DI223" t="str">
            <v>M</v>
          </cell>
        </row>
        <row r="224">
          <cell r="B224" t="str">
            <v>w630p2</v>
          </cell>
          <cell r="O224">
            <v>1</v>
          </cell>
          <cell r="BP224">
            <v>1</v>
          </cell>
        </row>
        <row r="225">
          <cell r="B225" t="str">
            <v>w630p2</v>
          </cell>
          <cell r="O225"/>
          <cell r="BP225">
            <v>1</v>
          </cell>
        </row>
        <row r="226">
          <cell r="B226" t="str">
            <v>W630p2</v>
          </cell>
          <cell r="BE226" t="str">
            <v>Somewhat Agree</v>
          </cell>
          <cell r="BH226">
            <v>0</v>
          </cell>
          <cell r="BP226">
            <v>0</v>
          </cell>
          <cell r="DI226" t="str">
            <v>M</v>
          </cell>
        </row>
        <row r="227">
          <cell r="B227" t="str">
            <v>W630p2</v>
          </cell>
          <cell r="BE227" t="str">
            <v>Somewhat Disagree</v>
          </cell>
          <cell r="BH227">
            <v>0</v>
          </cell>
          <cell r="BP227">
            <v>1</v>
          </cell>
          <cell r="DI227" t="str">
            <v>F</v>
          </cell>
        </row>
        <row r="228">
          <cell r="B228" t="str">
            <v>w630p2</v>
          </cell>
          <cell r="O228"/>
          <cell r="BE228" t="str">
            <v>Strongly Disagree</v>
          </cell>
          <cell r="BH228">
            <v>1</v>
          </cell>
          <cell r="BP228">
            <v>1</v>
          </cell>
          <cell r="DI228" t="str">
            <v>F</v>
          </cell>
        </row>
        <row r="229">
          <cell r="B229" t="str">
            <v>w630p2</v>
          </cell>
          <cell r="O229"/>
          <cell r="BE229" t="str">
            <v>Somewhat Agree</v>
          </cell>
          <cell r="BH229">
            <v>0</v>
          </cell>
          <cell r="BP229">
            <v>1</v>
          </cell>
          <cell r="DI229" t="str">
            <v>M</v>
          </cell>
        </row>
        <row r="230">
          <cell r="B230" t="str">
            <v>W630p2</v>
          </cell>
          <cell r="BE230" t="str">
            <v>Somewhat Agree</v>
          </cell>
          <cell r="BH230">
            <v>0</v>
          </cell>
          <cell r="BP230">
            <v>1</v>
          </cell>
          <cell r="DI230" t="str">
            <v>M</v>
          </cell>
        </row>
        <row r="231">
          <cell r="B231" t="str">
            <v>W630p2</v>
          </cell>
          <cell r="BE231" t="str">
            <v>Somewhat Disagree</v>
          </cell>
          <cell r="BH231">
            <v>0</v>
          </cell>
          <cell r="BP231">
            <v>0</v>
          </cell>
          <cell r="DI231" t="str">
            <v>M</v>
          </cell>
        </row>
        <row r="232">
          <cell r="BE232" t="str">
            <v>Neither Agree Nor Disagree</v>
          </cell>
          <cell r="BH232">
            <v>0</v>
          </cell>
          <cell r="BP232">
            <v>0</v>
          </cell>
          <cell r="CY232">
            <v>1</v>
          </cell>
          <cell r="DI232" t="str">
            <v>F</v>
          </cell>
        </row>
        <row r="233">
          <cell r="B233" t="str">
            <v>W630v2</v>
          </cell>
          <cell r="O233">
            <v>1</v>
          </cell>
          <cell r="BH233">
            <v>1</v>
          </cell>
          <cell r="BP233">
            <v>1</v>
          </cell>
        </row>
        <row r="234">
          <cell r="BE234" t="str">
            <v>Neither Agree Nor Disagree</v>
          </cell>
          <cell r="BH234">
            <v>0</v>
          </cell>
          <cell r="BP234">
            <v>1</v>
          </cell>
          <cell r="DI234" t="str">
            <v>M</v>
          </cell>
        </row>
        <row r="235">
          <cell r="O235"/>
          <cell r="BE235" t="str">
            <v>Somewhat Disagree</v>
          </cell>
          <cell r="BH235">
            <v>0</v>
          </cell>
          <cell r="BP235">
            <v>1</v>
          </cell>
          <cell r="CW235"/>
          <cell r="CY235"/>
          <cell r="DI235" t="str">
            <v>M</v>
          </cell>
        </row>
        <row r="236">
          <cell r="B236"/>
          <cell r="BE236" t="str">
            <v>Somewhat Agree</v>
          </cell>
          <cell r="BH236">
            <v>0</v>
          </cell>
          <cell r="BP236">
            <v>0</v>
          </cell>
          <cell r="DI236" t="str">
            <v>F</v>
          </cell>
        </row>
        <row r="237">
          <cell r="B237"/>
          <cell r="BE237" t="str">
            <v>Somewhat Agree</v>
          </cell>
          <cell r="BH237">
            <v>1</v>
          </cell>
          <cell r="BP237">
            <v>0</v>
          </cell>
          <cell r="DI237" t="str">
            <v>F</v>
          </cell>
        </row>
        <row r="238">
          <cell r="BE238" t="str">
            <v>Somewhat Disagree</v>
          </cell>
          <cell r="BH238">
            <v>0</v>
          </cell>
          <cell r="BP238">
            <v>0</v>
          </cell>
          <cell r="DI238" t="str">
            <v>F</v>
          </cell>
        </row>
        <row r="239">
          <cell r="BE239" t="str">
            <v>Somewhat Agree</v>
          </cell>
          <cell r="BH239">
            <v>0</v>
          </cell>
          <cell r="BP239">
            <v>1</v>
          </cell>
          <cell r="CY239">
            <v>1</v>
          </cell>
          <cell r="DI239" t="str">
            <v>M</v>
          </cell>
        </row>
        <row r="240">
          <cell r="BE240" t="str">
            <v>Somewhat Agree</v>
          </cell>
          <cell r="BH240">
            <v>0</v>
          </cell>
          <cell r="BP240">
            <v>0</v>
          </cell>
          <cell r="DI240" t="str">
            <v>F</v>
          </cell>
        </row>
        <row r="241">
          <cell r="BE241" t="str">
            <v>Somewhat Agree</v>
          </cell>
          <cell r="BH241">
            <v>0</v>
          </cell>
          <cell r="BP241">
            <v>0</v>
          </cell>
          <cell r="DI241" t="str">
            <v>M</v>
          </cell>
        </row>
        <row r="242">
          <cell r="B242"/>
          <cell r="O242"/>
          <cell r="BE242" t="str">
            <v>Somewhat Agree</v>
          </cell>
          <cell r="BH242">
            <v>0</v>
          </cell>
          <cell r="BP242">
            <v>0</v>
          </cell>
          <cell r="DI242" t="str">
            <v>F</v>
          </cell>
        </row>
        <row r="243">
          <cell r="O243"/>
          <cell r="BE243" t="str">
            <v>Somewhat Disagree</v>
          </cell>
          <cell r="BH243">
            <v>1</v>
          </cell>
          <cell r="BP243">
            <v>1</v>
          </cell>
          <cell r="DI243" t="str">
            <v>M</v>
          </cell>
        </row>
        <row r="244">
          <cell r="O244"/>
          <cell r="BE244" t="str">
            <v>Somewhat Agree</v>
          </cell>
          <cell r="BH244">
            <v>0</v>
          </cell>
          <cell r="BP244">
            <v>1</v>
          </cell>
          <cell r="DI244" t="str">
            <v>M</v>
          </cell>
        </row>
        <row r="245">
          <cell r="O245"/>
          <cell r="BE245" t="str">
            <v>Somewhat Agree</v>
          </cell>
          <cell r="BH245">
            <v>0</v>
          </cell>
          <cell r="BP245">
            <v>1</v>
          </cell>
          <cell r="CW245" t="str">
            <v>Alex Strasser</v>
          </cell>
          <cell r="DI245" t="str">
            <v>M</v>
          </cell>
        </row>
        <row r="246">
          <cell r="O246"/>
          <cell r="BE246" t="str">
            <v>Somewhat Agree</v>
          </cell>
          <cell r="BH246">
            <v>0</v>
          </cell>
          <cell r="BP246">
            <v>0</v>
          </cell>
          <cell r="DI246" t="str">
            <v>M</v>
          </cell>
        </row>
        <row r="247">
          <cell r="O247"/>
          <cell r="BE247" t="str">
            <v>Strongly Agree</v>
          </cell>
          <cell r="BH247">
            <v>0</v>
          </cell>
          <cell r="BP247">
            <v>0</v>
          </cell>
          <cell r="DI247" t="str">
            <v>F</v>
          </cell>
        </row>
        <row r="248">
          <cell r="O248"/>
          <cell r="BE248" t="str">
            <v>Somewhat Disagree</v>
          </cell>
          <cell r="BH248">
            <v>0</v>
          </cell>
          <cell r="BP248">
            <v>0</v>
          </cell>
          <cell r="DI248" t="str">
            <v>M</v>
          </cell>
        </row>
        <row r="249">
          <cell r="O249"/>
          <cell r="BE249" t="str">
            <v>Strongly Agree</v>
          </cell>
          <cell r="BH249">
            <v>0</v>
          </cell>
          <cell r="BP249">
            <v>0</v>
          </cell>
          <cell r="DI249" t="str">
            <v>M</v>
          </cell>
        </row>
        <row r="250">
          <cell r="O250"/>
          <cell r="BE250" t="str">
            <v>Prefer not to respond</v>
          </cell>
          <cell r="BH250">
            <v>1</v>
          </cell>
          <cell r="BP250">
            <v>0</v>
          </cell>
          <cell r="DI250" t="str">
            <v>M</v>
          </cell>
        </row>
        <row r="251">
          <cell r="O251"/>
        </row>
        <row r="252">
          <cell r="O252"/>
        </row>
        <row r="253">
          <cell r="O253"/>
        </row>
        <row r="254">
          <cell r="O254"/>
        </row>
        <row r="255">
          <cell r="O255"/>
        </row>
        <row r="256">
          <cell r="O256"/>
        </row>
        <row r="257">
          <cell r="O257"/>
        </row>
        <row r="258">
          <cell r="O258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Pivot 2"/>
      <sheetName val="Data"/>
      <sheetName val="Teams"/>
      <sheetName val="Nicolas"/>
      <sheetName val="Andrew"/>
      <sheetName val="Graham"/>
    </sheetNames>
    <sheetDataSet>
      <sheetData sheetId="0"/>
      <sheetData sheetId="1"/>
      <sheetData sheetId="2">
        <row r="3">
          <cell r="AU3" t="str">
            <v>Topic Code</v>
          </cell>
          <cell r="CX3" t="str">
            <v>Team</v>
          </cell>
        </row>
        <row r="4">
          <cell r="AU4" t="str">
            <v>M</v>
          </cell>
          <cell r="CX4" t="str">
            <v>F1030</v>
          </cell>
        </row>
        <row r="5">
          <cell r="AU5" t="str">
            <v>M</v>
          </cell>
          <cell r="CX5" t="str">
            <v>SA1000B</v>
          </cell>
        </row>
        <row r="6">
          <cell r="AU6" t="str">
            <v>M</v>
          </cell>
          <cell r="CX6" t="str">
            <v>F430</v>
          </cell>
        </row>
        <row r="7">
          <cell r="AU7" t="str">
            <v>M</v>
          </cell>
          <cell r="CX7" t="str">
            <v>TH630</v>
          </cell>
        </row>
        <row r="8">
          <cell r="AU8" t="str">
            <v>M</v>
          </cell>
          <cell r="CX8" t="str">
            <v>TU630m</v>
          </cell>
        </row>
        <row r="9">
          <cell r="AU9" t="str">
            <v>M</v>
          </cell>
          <cell r="CX9" t="str">
            <v>F1030</v>
          </cell>
        </row>
        <row r="10">
          <cell r="AU10" t="str">
            <v>M</v>
          </cell>
          <cell r="CX10" t="str">
            <v>TH630</v>
          </cell>
        </row>
        <row r="11">
          <cell r="AU11" t="str">
            <v>M</v>
          </cell>
          <cell r="CX11" t="str">
            <v>F430</v>
          </cell>
        </row>
        <row r="12">
          <cell r="AU12" t="str">
            <v>M</v>
          </cell>
          <cell r="CX12" t="str">
            <v>TU630m</v>
          </cell>
        </row>
        <row r="13">
          <cell r="AU13" t="str">
            <v>M</v>
          </cell>
          <cell r="CX13" t="str">
            <v>F430</v>
          </cell>
        </row>
        <row r="14">
          <cell r="AU14" t="str">
            <v>M</v>
          </cell>
          <cell r="CX14" t="str">
            <v>F430</v>
          </cell>
        </row>
        <row r="15">
          <cell r="AU15" t="str">
            <v>M</v>
          </cell>
          <cell r="CX15" t="str">
            <v>TU630m</v>
          </cell>
        </row>
        <row r="16">
          <cell r="AU16" t="str">
            <v>M</v>
          </cell>
          <cell r="CX16" t="str">
            <v>F430</v>
          </cell>
        </row>
        <row r="17">
          <cell r="AU17" t="str">
            <v>M</v>
          </cell>
          <cell r="CX17" t="str">
            <v>TH630</v>
          </cell>
        </row>
        <row r="18">
          <cell r="AU18" t="str">
            <v>E</v>
          </cell>
          <cell r="CX18" t="str">
            <v>M1030</v>
          </cell>
        </row>
        <row r="19">
          <cell r="AU19" t="str">
            <v>M</v>
          </cell>
          <cell r="CX19" t="str">
            <v>TU630m</v>
          </cell>
        </row>
        <row r="20">
          <cell r="AU20" t="str">
            <v>M</v>
          </cell>
          <cell r="CX20" t="str">
            <v>F430</v>
          </cell>
        </row>
        <row r="21">
          <cell r="AU21" t="str">
            <v>M</v>
          </cell>
          <cell r="CX21" t="str">
            <v>F1030</v>
          </cell>
        </row>
        <row r="22">
          <cell r="AU22" t="str">
            <v>E</v>
          </cell>
          <cell r="CX22" t="str">
            <v>M1030</v>
          </cell>
        </row>
        <row r="23">
          <cell r="AU23" t="str">
            <v>M</v>
          </cell>
          <cell r="CX23" t="str">
            <v>F430</v>
          </cell>
        </row>
        <row r="24">
          <cell r="AU24" t="str">
            <v>M</v>
          </cell>
          <cell r="CX24" t="str">
            <v>TH630</v>
          </cell>
        </row>
        <row r="25">
          <cell r="AU25" t="str">
            <v>M</v>
          </cell>
          <cell r="CX25" t="str">
            <v>TU630m</v>
          </cell>
        </row>
        <row r="26">
          <cell r="AU26" t="str">
            <v>M</v>
          </cell>
          <cell r="CX26" t="str">
            <v>F230</v>
          </cell>
        </row>
        <row r="27">
          <cell r="AU27" t="str">
            <v>C</v>
          </cell>
          <cell r="CX27" t="str">
            <v>TH430c</v>
          </cell>
        </row>
        <row r="28">
          <cell r="AU28" t="str">
            <v>C</v>
          </cell>
          <cell r="CX28" t="str">
            <v>SU300</v>
          </cell>
        </row>
        <row r="29">
          <cell r="AU29" t="str">
            <v>M</v>
          </cell>
          <cell r="CX29" t="str">
            <v>TU1230</v>
          </cell>
        </row>
        <row r="30">
          <cell r="AU30" t="str">
            <v>C</v>
          </cell>
          <cell r="CX30" t="str">
            <v>M1030</v>
          </cell>
        </row>
        <row r="31">
          <cell r="AU31" t="str">
            <v>C</v>
          </cell>
          <cell r="CX31" t="str">
            <v>TH430c</v>
          </cell>
        </row>
        <row r="32">
          <cell r="AU32" t="str">
            <v>C</v>
          </cell>
          <cell r="CX32" t="str">
            <v>TU200</v>
          </cell>
        </row>
        <row r="33">
          <cell r="AU33" t="str">
            <v>C</v>
          </cell>
          <cell r="CX33" t="str">
            <v>W630</v>
          </cell>
        </row>
        <row r="34">
          <cell r="AU34" t="str">
            <v>M</v>
          </cell>
          <cell r="CX34" t="str">
            <v>F230</v>
          </cell>
        </row>
        <row r="35">
          <cell r="AU35" t="str">
            <v>C</v>
          </cell>
          <cell r="CX35" t="str">
            <v>M1030</v>
          </cell>
        </row>
        <row r="36">
          <cell r="AU36" t="str">
            <v>E</v>
          </cell>
          <cell r="CX36" t="str">
            <v>M1230</v>
          </cell>
        </row>
        <row r="37">
          <cell r="AU37" t="str">
            <v>M</v>
          </cell>
          <cell r="CX37" t="str">
            <v>F230</v>
          </cell>
        </row>
        <row r="38">
          <cell r="AU38" t="str">
            <v>C</v>
          </cell>
          <cell r="CX38" t="str">
            <v>TU430</v>
          </cell>
        </row>
        <row r="39">
          <cell r="AU39" t="str">
            <v>C</v>
          </cell>
          <cell r="CX39" t="str">
            <v>TU200</v>
          </cell>
        </row>
        <row r="40">
          <cell r="AU40" t="str">
            <v>M</v>
          </cell>
          <cell r="CX40" t="str">
            <v>SA1000B</v>
          </cell>
        </row>
        <row r="41">
          <cell r="AU41" t="str">
            <v>M</v>
          </cell>
          <cell r="CX41" t="str">
            <v>M630</v>
          </cell>
        </row>
        <row r="42">
          <cell r="AU42" t="str">
            <v>E</v>
          </cell>
          <cell r="CX42" t="str">
            <v>M1230</v>
          </cell>
        </row>
        <row r="43">
          <cell r="AU43" t="str">
            <v>C</v>
          </cell>
          <cell r="CX43" t="str">
            <v>M1230</v>
          </cell>
        </row>
        <row r="44">
          <cell r="AU44" t="str">
            <v>E</v>
          </cell>
          <cell r="CX44" t="str">
            <v>M1030</v>
          </cell>
        </row>
        <row r="45">
          <cell r="AU45" t="str">
            <v>C</v>
          </cell>
          <cell r="CX45" t="str">
            <v>M1230</v>
          </cell>
        </row>
        <row r="46">
          <cell r="AU46" t="str">
            <v>M</v>
          </cell>
          <cell r="CX46" t="str">
            <v>SA1000B</v>
          </cell>
        </row>
        <row r="47">
          <cell r="AU47" t="str">
            <v>E</v>
          </cell>
          <cell r="CX47" t="str">
            <v>M630</v>
          </cell>
        </row>
        <row r="48">
          <cell r="AU48" t="str">
            <v>M</v>
          </cell>
          <cell r="CX48" t="str">
            <v>SA1000B</v>
          </cell>
        </row>
        <row r="49">
          <cell r="AU49" t="str">
            <v>M</v>
          </cell>
          <cell r="CX49" t="str">
            <v>SA1000B</v>
          </cell>
        </row>
        <row r="50">
          <cell r="AU50" t="str">
            <v>C</v>
          </cell>
          <cell r="CX50" t="str">
            <v>SA1000B</v>
          </cell>
        </row>
        <row r="51">
          <cell r="AU51" t="str">
            <v>M</v>
          </cell>
          <cell r="CX51" t="str">
            <v>F230</v>
          </cell>
        </row>
        <row r="52">
          <cell r="AU52" t="str">
            <v>E</v>
          </cell>
          <cell r="CX52" t="str">
            <v>SA1000</v>
          </cell>
        </row>
        <row r="53">
          <cell r="AU53" t="str">
            <v>M</v>
          </cell>
          <cell r="CX53" t="str">
            <v>M630</v>
          </cell>
        </row>
        <row r="54">
          <cell r="AU54" t="str">
            <v>E</v>
          </cell>
          <cell r="CX54" t="str">
            <v>SA1000</v>
          </cell>
        </row>
        <row r="55">
          <cell r="AU55" t="str">
            <v>E</v>
          </cell>
          <cell r="CX55" t="str">
            <v>M430</v>
          </cell>
        </row>
        <row r="56">
          <cell r="AU56" t="str">
            <v>C</v>
          </cell>
          <cell r="CX56" t="str">
            <v>SU300</v>
          </cell>
        </row>
        <row r="57">
          <cell r="AU57" t="str">
            <v>E</v>
          </cell>
          <cell r="CX57" t="str">
            <v>SU300</v>
          </cell>
        </row>
        <row r="58">
          <cell r="AU58" t="str">
            <v>M</v>
          </cell>
          <cell r="CX58" t="str">
            <v>F430</v>
          </cell>
        </row>
        <row r="59">
          <cell r="AU59" t="str">
            <v>E</v>
          </cell>
          <cell r="CX59" t="str">
            <v>M630</v>
          </cell>
        </row>
        <row r="60">
          <cell r="AU60" t="str">
            <v>E</v>
          </cell>
          <cell r="CX60" t="str">
            <v>SA1000</v>
          </cell>
        </row>
        <row r="61">
          <cell r="AU61" t="str">
            <v>M</v>
          </cell>
          <cell r="CX61" t="str">
            <v>F430</v>
          </cell>
        </row>
        <row r="62">
          <cell r="AU62" t="str">
            <v>C</v>
          </cell>
          <cell r="CX62" t="str">
            <v>W630</v>
          </cell>
        </row>
        <row r="63">
          <cell r="AU63" t="str">
            <v>E</v>
          </cell>
          <cell r="CX63" t="str">
            <v>M630</v>
          </cell>
        </row>
        <row r="64">
          <cell r="AU64" t="str">
            <v>C</v>
          </cell>
          <cell r="CX64" t="str">
            <v>TU630</v>
          </cell>
        </row>
        <row r="65">
          <cell r="AU65" t="str">
            <v>C</v>
          </cell>
          <cell r="CX65" t="str">
            <v>SU300</v>
          </cell>
        </row>
        <row r="66">
          <cell r="AU66" t="str">
            <v>E</v>
          </cell>
          <cell r="CX66" t="str">
            <v>M430</v>
          </cell>
        </row>
        <row r="67">
          <cell r="AU67" t="str">
            <v>E</v>
          </cell>
          <cell r="CX67" t="str">
            <v>SU300</v>
          </cell>
        </row>
        <row r="68">
          <cell r="AU68" t="str">
            <v>M</v>
          </cell>
          <cell r="CX68" t="str">
            <v>TH630</v>
          </cell>
        </row>
        <row r="69">
          <cell r="AU69" t="str">
            <v>E</v>
          </cell>
          <cell r="CX69" t="str">
            <v>TH430</v>
          </cell>
        </row>
        <row r="70">
          <cell r="AU70" t="str">
            <v>C</v>
          </cell>
          <cell r="CX70" t="str">
            <v>M1030</v>
          </cell>
        </row>
        <row r="71">
          <cell r="AU71" t="str">
            <v>M</v>
          </cell>
          <cell r="CX71" t="str">
            <v>TU630m</v>
          </cell>
        </row>
        <row r="72">
          <cell r="AU72" t="str">
            <v>E</v>
          </cell>
          <cell r="CX72" t="str">
            <v>M1230</v>
          </cell>
        </row>
        <row r="73">
          <cell r="AU73" t="str">
            <v>C</v>
          </cell>
          <cell r="CX73" t="str">
            <v>M430</v>
          </cell>
        </row>
        <row r="74">
          <cell r="AU74" t="str">
            <v>E</v>
          </cell>
          <cell r="CX74" t="str">
            <v>SA1000</v>
          </cell>
        </row>
        <row r="75">
          <cell r="AU75" t="str">
            <v>M</v>
          </cell>
          <cell r="CX75" t="str">
            <v>TU1230</v>
          </cell>
        </row>
        <row r="76">
          <cell r="AU76" t="str">
            <v>E</v>
          </cell>
          <cell r="CX76" t="str">
            <v>SA1000</v>
          </cell>
        </row>
        <row r="77">
          <cell r="AU77" t="str">
            <v>C</v>
          </cell>
          <cell r="CX77" t="str">
            <v>TH430c</v>
          </cell>
        </row>
        <row r="78">
          <cell r="AU78" t="str">
            <v>C</v>
          </cell>
          <cell r="CX78" t="str">
            <v>TU630</v>
          </cell>
        </row>
        <row r="79">
          <cell r="AU79" t="str">
            <v>E</v>
          </cell>
          <cell r="CX79" t="str">
            <v>M630</v>
          </cell>
        </row>
        <row r="80">
          <cell r="AU80" t="str">
            <v>C</v>
          </cell>
          <cell r="CX80" t="str">
            <v>TU430</v>
          </cell>
        </row>
        <row r="81">
          <cell r="AU81" t="str">
            <v>M</v>
          </cell>
          <cell r="CX81" t="str">
            <v>TU1230</v>
          </cell>
        </row>
        <row r="82">
          <cell r="AU82" t="str">
            <v>E</v>
          </cell>
          <cell r="CX82" t="str">
            <v>SA1000</v>
          </cell>
        </row>
        <row r="83">
          <cell r="AU83" t="str">
            <v>M</v>
          </cell>
          <cell r="CX83" t="str">
            <v>F230</v>
          </cell>
        </row>
        <row r="84">
          <cell r="AU84" t="str">
            <v>C</v>
          </cell>
          <cell r="CX84" t="str">
            <v>TH430c</v>
          </cell>
        </row>
        <row r="85">
          <cell r="AU85" t="str">
            <v>C</v>
          </cell>
          <cell r="CX85" t="str">
            <v>TU200</v>
          </cell>
        </row>
        <row r="86">
          <cell r="AU86" t="str">
            <v>M</v>
          </cell>
          <cell r="CX86" t="str">
            <v>F230</v>
          </cell>
        </row>
        <row r="87">
          <cell r="AU87" t="str">
            <v>M</v>
          </cell>
          <cell r="CX87" t="str">
            <v>TU1230</v>
          </cell>
        </row>
        <row r="88">
          <cell r="AU88" t="str">
            <v>C</v>
          </cell>
          <cell r="CX88" t="str">
            <v>TU200</v>
          </cell>
        </row>
        <row r="89">
          <cell r="AU89" t="str">
            <v>E</v>
          </cell>
          <cell r="CX89" t="str">
            <v>TU1230</v>
          </cell>
        </row>
        <row r="90">
          <cell r="AU90" t="str">
            <v>M</v>
          </cell>
          <cell r="CX90" t="str">
            <v>TU1230</v>
          </cell>
        </row>
        <row r="91">
          <cell r="AU91" t="str">
            <v>C</v>
          </cell>
          <cell r="CX91" t="str">
            <v>M430</v>
          </cell>
        </row>
        <row r="92">
          <cell r="AU92" t="str">
            <v>C</v>
          </cell>
          <cell r="CX92" t="str">
            <v>TU430</v>
          </cell>
        </row>
        <row r="93">
          <cell r="AU93" t="str">
            <v>M</v>
          </cell>
          <cell r="CX93" t="str">
            <v>TU1230</v>
          </cell>
        </row>
        <row r="94">
          <cell r="AU94" t="str">
            <v>C</v>
          </cell>
          <cell r="CX94" t="str">
            <v>TU630</v>
          </cell>
        </row>
        <row r="95">
          <cell r="AU95" t="str">
            <v>M</v>
          </cell>
          <cell r="CX95" t="str">
            <v>SA1000B</v>
          </cell>
        </row>
        <row r="96">
          <cell r="AU96" t="str">
            <v>C</v>
          </cell>
          <cell r="CX96" t="str">
            <v>TU200</v>
          </cell>
        </row>
        <row r="97">
          <cell r="AU97" t="str">
            <v>M</v>
          </cell>
          <cell r="CX97" t="str">
            <v>M630</v>
          </cell>
        </row>
        <row r="98">
          <cell r="AU98" t="str">
            <v>C</v>
          </cell>
          <cell r="CX98" t="str">
            <v>TU630</v>
          </cell>
        </row>
        <row r="99">
          <cell r="AU99" t="str">
            <v>M</v>
          </cell>
          <cell r="CX99" t="str">
            <v>SA1000B</v>
          </cell>
        </row>
        <row r="100">
          <cell r="AU100" t="str">
            <v>M</v>
          </cell>
          <cell r="CX100" t="str">
            <v>F230</v>
          </cell>
        </row>
        <row r="101">
          <cell r="AU101" t="str">
            <v>E</v>
          </cell>
          <cell r="CX101" t="str">
            <v>TH430</v>
          </cell>
        </row>
        <row r="102">
          <cell r="AU102" t="str">
            <v>E</v>
          </cell>
          <cell r="CX102" t="str">
            <v>TH430</v>
          </cell>
        </row>
        <row r="103">
          <cell r="AU103" t="str">
            <v>E</v>
          </cell>
          <cell r="CX103" t="str">
            <v>TH430</v>
          </cell>
        </row>
        <row r="104">
          <cell r="AU104" t="str">
            <v>C</v>
          </cell>
          <cell r="CX104" t="str">
            <v>TU200</v>
          </cell>
        </row>
        <row r="105">
          <cell r="AU105" t="str">
            <v>E</v>
          </cell>
          <cell r="CX105" t="str">
            <v>TH430</v>
          </cell>
        </row>
        <row r="106">
          <cell r="AU106" t="str">
            <v>M</v>
          </cell>
          <cell r="CX106" t="str">
            <v>M230</v>
          </cell>
        </row>
        <row r="107">
          <cell r="AU107" t="str">
            <v>M</v>
          </cell>
          <cell r="CX107" t="str">
            <v>TH630</v>
          </cell>
        </row>
        <row r="108">
          <cell r="AU108" t="str">
            <v>M</v>
          </cell>
          <cell r="CX108" t="str">
            <v>F1030</v>
          </cell>
        </row>
        <row r="109">
          <cell r="AU109" t="str">
            <v>E</v>
          </cell>
          <cell r="CX109" t="str">
            <v>TU200</v>
          </cell>
        </row>
        <row r="110">
          <cell r="AU110" t="str">
            <v>E</v>
          </cell>
          <cell r="CX110" t="str">
            <v>TH430</v>
          </cell>
        </row>
        <row r="111">
          <cell r="AU111" t="str">
            <v>C</v>
          </cell>
          <cell r="CX111" t="str">
            <v>TH430c</v>
          </cell>
        </row>
        <row r="112">
          <cell r="AU112" t="str">
            <v>C</v>
          </cell>
          <cell r="CX112" t="str">
            <v>TU200</v>
          </cell>
        </row>
        <row r="113">
          <cell r="AU113" t="str">
            <v>M</v>
          </cell>
          <cell r="CX113" t="str">
            <v>TU1230</v>
          </cell>
        </row>
        <row r="114">
          <cell r="AU114" t="str">
            <v>E</v>
          </cell>
          <cell r="CX114" t="str">
            <v>TH430</v>
          </cell>
        </row>
        <row r="115">
          <cell r="AU115" t="str">
            <v>M</v>
          </cell>
          <cell r="CX115" t="str">
            <v>TU1230</v>
          </cell>
        </row>
        <row r="116">
          <cell r="AU116" t="str">
            <v>M</v>
          </cell>
          <cell r="CX116" t="str">
            <v>TH430c</v>
          </cell>
        </row>
        <row r="117">
          <cell r="AU117" t="str">
            <v>E</v>
          </cell>
          <cell r="CX117" t="str">
            <v>F1030</v>
          </cell>
        </row>
        <row r="118">
          <cell r="AU118" t="str">
            <v>C</v>
          </cell>
          <cell r="CX118" t="str">
            <v>TH430c</v>
          </cell>
        </row>
        <row r="119">
          <cell r="AU119" t="str">
            <v>C</v>
          </cell>
          <cell r="CX119" t="str">
            <v>M430</v>
          </cell>
        </row>
        <row r="120">
          <cell r="AU120" t="str">
            <v>C</v>
          </cell>
          <cell r="CX120" t="str">
            <v>SU300</v>
          </cell>
        </row>
        <row r="121">
          <cell r="AU121" t="str">
            <v>M</v>
          </cell>
          <cell r="CX121" t="str">
            <v>M230</v>
          </cell>
        </row>
        <row r="122">
          <cell r="AU122" t="str">
            <v>C</v>
          </cell>
          <cell r="CX122" t="str">
            <v>TU430</v>
          </cell>
        </row>
        <row r="123">
          <cell r="AU123" t="str">
            <v>C</v>
          </cell>
          <cell r="CX123" t="str">
            <v>M430</v>
          </cell>
        </row>
        <row r="124">
          <cell r="AU124" t="str">
            <v>C</v>
          </cell>
          <cell r="CX124" t="str">
            <v>TU630</v>
          </cell>
        </row>
        <row r="125">
          <cell r="AU125" t="str">
            <v>C</v>
          </cell>
          <cell r="CX125" t="str">
            <v>M1230</v>
          </cell>
        </row>
        <row r="126">
          <cell r="AU126" t="str">
            <v>M</v>
          </cell>
          <cell r="CX126" t="str">
            <v>M230</v>
          </cell>
        </row>
        <row r="127">
          <cell r="AU127" t="str">
            <v>C</v>
          </cell>
          <cell r="CX127" t="str">
            <v>TU430</v>
          </cell>
        </row>
        <row r="128">
          <cell r="AU128" t="str">
            <v>C</v>
          </cell>
          <cell r="CX128" t="str">
            <v>M430</v>
          </cell>
        </row>
        <row r="129">
          <cell r="AU129" t="str">
            <v>E</v>
          </cell>
          <cell r="CX129" t="str">
            <v>W630</v>
          </cell>
        </row>
        <row r="130">
          <cell r="AU130" t="str">
            <v>M</v>
          </cell>
          <cell r="CX130" t="str">
            <v>M630</v>
          </cell>
        </row>
        <row r="131">
          <cell r="AU131" t="str">
            <v>M</v>
          </cell>
          <cell r="CX131" t="str">
            <v>TH630</v>
          </cell>
        </row>
        <row r="132">
          <cell r="AU132" t="str">
            <v>C</v>
          </cell>
          <cell r="CX132" t="str">
            <v>M430</v>
          </cell>
        </row>
        <row r="133">
          <cell r="AU133" t="str">
            <v>C</v>
          </cell>
          <cell r="CX133" t="str">
            <v>TH430c</v>
          </cell>
        </row>
        <row r="134">
          <cell r="AU134" t="str">
            <v>C</v>
          </cell>
          <cell r="CX134" t="str">
            <v>TU430</v>
          </cell>
        </row>
        <row r="135">
          <cell r="AU135" t="str">
            <v>C</v>
          </cell>
          <cell r="CX135" t="str">
            <v>TU430</v>
          </cell>
        </row>
        <row r="136">
          <cell r="AU136" t="str">
            <v>C</v>
          </cell>
          <cell r="CX136" t="str">
            <v>M1030</v>
          </cell>
        </row>
        <row r="137">
          <cell r="AU137" t="str">
            <v>C</v>
          </cell>
          <cell r="CX137" t="str">
            <v>W630</v>
          </cell>
        </row>
        <row r="138">
          <cell r="AU138" t="str">
            <v>C</v>
          </cell>
          <cell r="CX138" t="str">
            <v>M1230</v>
          </cell>
        </row>
        <row r="139">
          <cell r="AU139" t="str">
            <v>C</v>
          </cell>
          <cell r="CX139" t="str">
            <v>W630</v>
          </cell>
        </row>
        <row r="140">
          <cell r="AU140" t="str">
            <v>C</v>
          </cell>
          <cell r="CX140" t="str">
            <v>SU300</v>
          </cell>
        </row>
        <row r="141">
          <cell r="AU141" t="str">
            <v>C</v>
          </cell>
          <cell r="CX141" t="str">
            <v>TU630</v>
          </cell>
        </row>
        <row r="142">
          <cell r="AU142" t="str">
            <v>C</v>
          </cell>
          <cell r="CX142" t="str">
            <v>M430</v>
          </cell>
        </row>
        <row r="143">
          <cell r="AU143" t="str">
            <v>C</v>
          </cell>
          <cell r="CX143" t="str">
            <v>TU630</v>
          </cell>
        </row>
        <row r="144">
          <cell r="AU144" t="str">
            <v>M</v>
          </cell>
          <cell r="CX144" t="str">
            <v>M230</v>
          </cell>
        </row>
        <row r="145">
          <cell r="AU145" t="str">
            <v>C</v>
          </cell>
          <cell r="CX145" t="str">
            <v>TH430c</v>
          </cell>
        </row>
        <row r="146">
          <cell r="AU146" t="str">
            <v>M</v>
          </cell>
          <cell r="CX146" t="str">
            <v>M230</v>
          </cell>
        </row>
        <row r="147">
          <cell r="AU147" t="str">
            <v>C</v>
          </cell>
          <cell r="CX147" t="str">
            <v>TU430</v>
          </cell>
        </row>
        <row r="148">
          <cell r="AU148" t="str">
            <v>C</v>
          </cell>
          <cell r="CX148" t="str">
            <v>TU430</v>
          </cell>
        </row>
        <row r="149">
          <cell r="AU149" t="str">
            <v>M</v>
          </cell>
          <cell r="CX149" t="str">
            <v>TH630</v>
          </cell>
        </row>
        <row r="150">
          <cell r="AU150" t="str">
            <v>C</v>
          </cell>
          <cell r="CX150" t="str">
            <v>SU300</v>
          </cell>
        </row>
        <row r="151">
          <cell r="AU151" t="str">
            <v>E</v>
          </cell>
          <cell r="CX151" t="str">
            <v>TU630m</v>
          </cell>
        </row>
        <row r="152">
          <cell r="AU152" t="str">
            <v>M</v>
          </cell>
          <cell r="CX152" t="str">
            <v>M230</v>
          </cell>
        </row>
        <row r="153">
          <cell r="AU153" t="str">
            <v>C</v>
          </cell>
          <cell r="CX153" t="str">
            <v>M1030</v>
          </cell>
        </row>
        <row r="154">
          <cell r="AU154" t="str">
            <v>E</v>
          </cell>
          <cell r="CX154" t="str">
            <v>SA1000</v>
          </cell>
        </row>
        <row r="155">
          <cell r="AU155" t="str">
            <v>E</v>
          </cell>
          <cell r="CX155" t="str">
            <v>TU630</v>
          </cell>
        </row>
        <row r="156">
          <cell r="AU156" t="str">
            <v>C</v>
          </cell>
          <cell r="CX156" t="str">
            <v>M1230</v>
          </cell>
        </row>
        <row r="157">
          <cell r="AU157" t="str">
            <v>E</v>
          </cell>
          <cell r="CX157" t="str">
            <v>W630</v>
          </cell>
        </row>
        <row r="158">
          <cell r="AU158" t="str">
            <v>M</v>
          </cell>
          <cell r="CX158" t="str">
            <v>TU630</v>
          </cell>
        </row>
        <row r="159">
          <cell r="AU159" t="str">
            <v>E</v>
          </cell>
          <cell r="CX159" t="str">
            <v>TH430</v>
          </cell>
        </row>
        <row r="160">
          <cell r="AU160" t="str">
            <v>M</v>
          </cell>
          <cell r="CX160" t="str">
            <v>F230</v>
          </cell>
        </row>
        <row r="161">
          <cell r="AU161" t="str">
            <v>E</v>
          </cell>
          <cell r="CX161" t="str">
            <v>SA1000</v>
          </cell>
        </row>
        <row r="162">
          <cell r="AU162" t="str">
            <v>M</v>
          </cell>
          <cell r="CX162" t="str">
            <v>M630</v>
          </cell>
        </row>
        <row r="163">
          <cell r="AU163" t="str">
            <v>C</v>
          </cell>
          <cell r="CX163" t="str">
            <v>W630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tions"/>
      <sheetName val="For Stata"/>
      <sheetName val="Pivot 1"/>
      <sheetName val="Team Pivot"/>
      <sheetName val="From Stata"/>
      <sheetName val="Consent Forms"/>
      <sheetName val="FormSubmissions (34)"/>
      <sheetName val="251"/>
      <sheetName val="110"/>
      <sheetName val="121"/>
    </sheetNames>
    <sheetDataSet>
      <sheetData sheetId="0"/>
      <sheetData sheetId="1"/>
      <sheetData sheetId="2"/>
      <sheetData sheetId="3"/>
      <sheetData sheetId="4">
        <row r="1">
          <cell r="L1" t="str">
            <v>Status</v>
          </cell>
          <cell r="S1" t="str">
            <v>Team</v>
          </cell>
          <cell r="AB1" t="str">
            <v>yearinschoolifstudent</v>
          </cell>
          <cell r="AH1" t="str">
            <v>agerange</v>
          </cell>
          <cell r="AI1" t="str">
            <v>ideo</v>
          </cell>
          <cell r="CN1" t="str">
            <v>format2</v>
          </cell>
          <cell r="CP1" t="str">
            <v>gender</v>
          </cell>
          <cell r="CQ1" t="str">
            <v>cat</v>
          </cell>
          <cell r="CR1" t="str">
            <v>ostrict</v>
          </cell>
          <cell r="CS1" t="str">
            <v>hpriv</v>
          </cell>
          <cell r="CU1" t="str">
            <v>race</v>
          </cell>
        </row>
        <row r="2">
          <cell r="L2" t="str">
            <v>Withdrawn</v>
          </cell>
          <cell r="AH2" t="str">
            <v>65+</v>
          </cell>
          <cell r="AI2" t="str">
            <v>Very Liberal</v>
          </cell>
          <cell r="CN2" t="str">
            <v>Z</v>
          </cell>
          <cell r="CP2" t="str">
            <v>M</v>
          </cell>
          <cell r="CQ2" t="str">
            <v>NS</v>
          </cell>
          <cell r="CR2" t="str">
            <v>O1</v>
          </cell>
          <cell r="CS2" t="str">
            <v>H1</v>
          </cell>
          <cell r="CU2" t="str">
            <v>W</v>
          </cell>
        </row>
        <row r="3">
          <cell r="L3" t="str">
            <v>Withdrawn</v>
          </cell>
          <cell r="AH3" t="str">
            <v>51-64</v>
          </cell>
          <cell r="AI3" t="str">
            <v>Somewhat Liberal</v>
          </cell>
          <cell r="CN3" t="str">
            <v>Z</v>
          </cell>
          <cell r="CP3" t="str">
            <v>F</v>
          </cell>
          <cell r="CQ3" t="str">
            <v>NS</v>
          </cell>
          <cell r="CR3" t="str">
            <v>O2</v>
          </cell>
          <cell r="CS3" t="str">
            <v>H1</v>
          </cell>
          <cell r="CU3" t="str">
            <v>W</v>
          </cell>
        </row>
        <row r="4">
          <cell r="L4" t="str">
            <v>Confirmed</v>
          </cell>
          <cell r="S4" t="str">
            <v>tu430v</v>
          </cell>
          <cell r="AH4" t="str">
            <v>30-39</v>
          </cell>
          <cell r="AI4" t="str">
            <v>Somewhat Liberal</v>
          </cell>
          <cell r="CN4" t="str">
            <v>Z</v>
          </cell>
          <cell r="CP4" t="str">
            <v>M</v>
          </cell>
          <cell r="CQ4" t="str">
            <v>NS</v>
          </cell>
          <cell r="CR4" t="str">
            <v>O3</v>
          </cell>
          <cell r="CS4" t="str">
            <v>H4</v>
          </cell>
          <cell r="CU4" t="str">
            <v>W</v>
          </cell>
        </row>
        <row r="5">
          <cell r="L5" t="str">
            <v>Confirmed</v>
          </cell>
          <cell r="S5" t="str">
            <v>th200v</v>
          </cell>
          <cell r="AH5" t="str">
            <v>65+</v>
          </cell>
          <cell r="AI5" t="str">
            <v>Somewhat Liberal</v>
          </cell>
          <cell r="CN5" t="str">
            <v>Z</v>
          </cell>
          <cell r="CP5" t="str">
            <v>M</v>
          </cell>
          <cell r="CQ5" t="str">
            <v>NS</v>
          </cell>
          <cell r="CR5" t="str">
            <v>O1</v>
          </cell>
          <cell r="CS5" t="str">
            <v>H1</v>
          </cell>
          <cell r="CU5" t="str">
            <v>W</v>
          </cell>
        </row>
        <row r="6">
          <cell r="L6" t="str">
            <v>Confirmed</v>
          </cell>
          <cell r="S6" t="str">
            <v>sa1000v</v>
          </cell>
          <cell r="AH6" t="str">
            <v>51-64</v>
          </cell>
          <cell r="AI6" t="str">
            <v>Moderate</v>
          </cell>
          <cell r="CN6" t="str">
            <v>Z</v>
          </cell>
          <cell r="CP6" t="str">
            <v>M</v>
          </cell>
          <cell r="CQ6" t="str">
            <v>NS</v>
          </cell>
          <cell r="CR6" t="str">
            <v>O1</v>
          </cell>
          <cell r="CS6" t="str">
            <v>H2</v>
          </cell>
          <cell r="CU6" t="str">
            <v>W</v>
          </cell>
        </row>
        <row r="7">
          <cell r="L7" t="str">
            <v>Confirmed</v>
          </cell>
          <cell r="S7" t="str">
            <v>tu1230v</v>
          </cell>
          <cell r="AH7" t="str">
            <v>51-64</v>
          </cell>
          <cell r="AI7" t="str">
            <v>Somewhat Liberal</v>
          </cell>
          <cell r="CN7" t="str">
            <v>Z</v>
          </cell>
          <cell r="CP7" t="str">
            <v>F</v>
          </cell>
          <cell r="CQ7" t="str">
            <v>NS</v>
          </cell>
          <cell r="CR7" t="str">
            <v>O3</v>
          </cell>
          <cell r="CS7" t="str">
            <v>H2</v>
          </cell>
          <cell r="CU7" t="str">
            <v>W</v>
          </cell>
        </row>
        <row r="8">
          <cell r="L8" t="str">
            <v>Confirmed</v>
          </cell>
          <cell r="S8" t="str">
            <v>tu1230v</v>
          </cell>
          <cell r="AH8" t="str">
            <v>51-64</v>
          </cell>
          <cell r="AI8" t="str">
            <v>Somewhat Liberal</v>
          </cell>
          <cell r="CN8" t="str">
            <v>Z</v>
          </cell>
          <cell r="CP8" t="str">
            <v>F</v>
          </cell>
          <cell r="CQ8" t="str">
            <v>NS</v>
          </cell>
          <cell r="CR8" t="str">
            <v>O2</v>
          </cell>
          <cell r="CS8" t="str">
            <v>H4</v>
          </cell>
          <cell r="CU8" t="str">
            <v>W</v>
          </cell>
        </row>
        <row r="9">
          <cell r="L9" t="str">
            <v>Withdrawn</v>
          </cell>
          <cell r="AH9" t="str">
            <v>65+</v>
          </cell>
          <cell r="AI9" t="str">
            <v>Moderate</v>
          </cell>
          <cell r="CN9" t="str">
            <v>Z</v>
          </cell>
          <cell r="CP9" t="str">
            <v>M</v>
          </cell>
          <cell r="CQ9" t="str">
            <v>NS</v>
          </cell>
          <cell r="CR9" t="str">
            <v>O3</v>
          </cell>
          <cell r="CS9" t="str">
            <v>H4</v>
          </cell>
          <cell r="CU9" t="str">
            <v>W</v>
          </cell>
        </row>
        <row r="10">
          <cell r="L10" t="str">
            <v>Confirmed</v>
          </cell>
          <cell r="S10" t="str">
            <v>sa100v</v>
          </cell>
          <cell r="AH10" t="str">
            <v>30-39</v>
          </cell>
          <cell r="AI10" t="str">
            <v>Somewhat Liberal</v>
          </cell>
          <cell r="CN10" t="str">
            <v>Z</v>
          </cell>
          <cell r="CP10" t="str">
            <v>M</v>
          </cell>
          <cell r="CQ10" t="str">
            <v>NS</v>
          </cell>
          <cell r="CR10" t="str">
            <v>O1</v>
          </cell>
          <cell r="CS10" t="str">
            <v>H1</v>
          </cell>
          <cell r="CU10" t="str">
            <v>W</v>
          </cell>
        </row>
        <row r="11">
          <cell r="L11" t="str">
            <v>Confirmed</v>
          </cell>
          <cell r="S11" t="str">
            <v>tu630v</v>
          </cell>
          <cell r="AH11" t="str">
            <v>23-29</v>
          </cell>
          <cell r="AI11" t="str">
            <v>Moderate</v>
          </cell>
          <cell r="CN11" t="str">
            <v>Z</v>
          </cell>
          <cell r="CP11" t="str">
            <v>F</v>
          </cell>
          <cell r="CQ11" t="str">
            <v>NS</v>
          </cell>
          <cell r="CR11" t="str">
            <v>O4</v>
          </cell>
          <cell r="CS11" t="str">
            <v>H2</v>
          </cell>
          <cell r="CU11" t="str">
            <v>W</v>
          </cell>
        </row>
        <row r="12">
          <cell r="L12" t="str">
            <v>Confirmed</v>
          </cell>
          <cell r="S12" t="str">
            <v>w630v</v>
          </cell>
          <cell r="AH12" t="str">
            <v>51-64</v>
          </cell>
          <cell r="AI12" t="str">
            <v>Moderate</v>
          </cell>
          <cell r="CN12" t="str">
            <v>Z</v>
          </cell>
          <cell r="CP12" t="str">
            <v>M</v>
          </cell>
          <cell r="CQ12" t="str">
            <v>NS</v>
          </cell>
          <cell r="CR12" t="str">
            <v>O1</v>
          </cell>
          <cell r="CS12" t="str">
            <v>H2</v>
          </cell>
          <cell r="CU12" t="str">
            <v>NW</v>
          </cell>
        </row>
        <row r="13">
          <cell r="L13" t="str">
            <v>Withdrawn</v>
          </cell>
          <cell r="AH13" t="str">
            <v>65+</v>
          </cell>
          <cell r="AI13" t="str">
            <v>Other/Prefer Not to Respond</v>
          </cell>
          <cell r="CN13" t="str">
            <v>Z</v>
          </cell>
          <cell r="CP13" t="str">
            <v>M</v>
          </cell>
          <cell r="CQ13" t="str">
            <v>NS</v>
          </cell>
          <cell r="CR13" t="str">
            <v>O3</v>
          </cell>
          <cell r="CS13" t="str">
            <v>H3</v>
          </cell>
          <cell r="CU13" t="str">
            <v>W</v>
          </cell>
        </row>
        <row r="14">
          <cell r="L14" t="str">
            <v>Confirmed</v>
          </cell>
          <cell r="S14" t="str">
            <v>tu1230v</v>
          </cell>
          <cell r="AH14" t="str">
            <v>40-50</v>
          </cell>
          <cell r="AI14" t="str">
            <v>Somewhat Liberal</v>
          </cell>
          <cell r="CN14" t="str">
            <v>Z</v>
          </cell>
          <cell r="CP14" t="str">
            <v>F</v>
          </cell>
          <cell r="CQ14" t="str">
            <v>NS</v>
          </cell>
          <cell r="CR14" t="str">
            <v>O2</v>
          </cell>
          <cell r="CS14" t="str">
            <v>H1</v>
          </cell>
          <cell r="CU14" t="str">
            <v>W</v>
          </cell>
        </row>
        <row r="15">
          <cell r="L15" t="str">
            <v>Confirmed</v>
          </cell>
          <cell r="S15" t="str">
            <v>su100p</v>
          </cell>
          <cell r="AH15" t="str">
            <v>51-64</v>
          </cell>
          <cell r="AI15" t="str">
            <v>Somewhat Liberal</v>
          </cell>
          <cell r="CN15" t="str">
            <v>E</v>
          </cell>
          <cell r="CP15" t="str">
            <v>F</v>
          </cell>
          <cell r="CQ15" t="str">
            <v>NS</v>
          </cell>
          <cell r="CR15" t="str">
            <v>O1</v>
          </cell>
          <cell r="CS15" t="str">
            <v>H2</v>
          </cell>
          <cell r="CU15" t="str">
            <v>W</v>
          </cell>
        </row>
        <row r="16">
          <cell r="L16" t="str">
            <v>Confirmed</v>
          </cell>
          <cell r="S16" t="str">
            <v>m230v</v>
          </cell>
          <cell r="AH16" t="str">
            <v>65+</v>
          </cell>
          <cell r="AI16" t="str">
            <v>Somewhat Conservative</v>
          </cell>
          <cell r="CN16" t="str">
            <v>Z</v>
          </cell>
          <cell r="CP16" t="str">
            <v>M</v>
          </cell>
          <cell r="CQ16" t="str">
            <v>NS</v>
          </cell>
          <cell r="CR16" t="str">
            <v>O2</v>
          </cell>
          <cell r="CS16" t="str">
            <v>H2</v>
          </cell>
          <cell r="CU16" t="str">
            <v>W</v>
          </cell>
        </row>
        <row r="17">
          <cell r="L17" t="str">
            <v>Confirmed</v>
          </cell>
          <cell r="S17" t="str">
            <v>m230v</v>
          </cell>
          <cell r="AH17" t="str">
            <v>65+</v>
          </cell>
          <cell r="AI17" t="str">
            <v>Very Liberal</v>
          </cell>
          <cell r="CN17" t="str">
            <v>Z</v>
          </cell>
          <cell r="CP17" t="str">
            <v>M</v>
          </cell>
          <cell r="CQ17" t="str">
            <v>NS</v>
          </cell>
          <cell r="CR17" t="str">
            <v>O1</v>
          </cell>
          <cell r="CS17" t="str">
            <v>H1</v>
          </cell>
          <cell r="CU17" t="str">
            <v>W</v>
          </cell>
        </row>
        <row r="18">
          <cell r="L18" t="str">
            <v>Confirmed</v>
          </cell>
          <cell r="S18" t="str">
            <v>th200v</v>
          </cell>
          <cell r="AB18" t="str">
            <v>First Year</v>
          </cell>
          <cell r="AH18" t="str">
            <v>18-22</v>
          </cell>
          <cell r="AI18" t="str">
            <v>Very Liberal</v>
          </cell>
          <cell r="CN18" t="str">
            <v>P</v>
          </cell>
          <cell r="CP18" t="str">
            <v>F</v>
          </cell>
          <cell r="CQ18" t="str">
            <v>S</v>
          </cell>
          <cell r="CR18" t="str">
            <v>O1</v>
          </cell>
          <cell r="CS18" t="str">
            <v>H1</v>
          </cell>
          <cell r="CU18" t="str">
            <v>NW</v>
          </cell>
        </row>
        <row r="19">
          <cell r="L19" t="str">
            <v>Confirmed</v>
          </cell>
          <cell r="S19" t="str">
            <v>th200v</v>
          </cell>
          <cell r="AH19" t="str">
            <v>65+</v>
          </cell>
          <cell r="AI19" t="str">
            <v>Moderate</v>
          </cell>
          <cell r="CN19" t="str">
            <v>Z</v>
          </cell>
          <cell r="CP19" t="str">
            <v>M</v>
          </cell>
          <cell r="CQ19" t="str">
            <v>NS</v>
          </cell>
          <cell r="CR19" t="str">
            <v>O2</v>
          </cell>
          <cell r="CS19" t="str">
            <v>H4</v>
          </cell>
          <cell r="CU19" t="str">
            <v>W</v>
          </cell>
        </row>
        <row r="20">
          <cell r="L20" t="str">
            <v>Confirmed</v>
          </cell>
          <cell r="S20" t="str">
            <v>tu630v</v>
          </cell>
          <cell r="AH20" t="str">
            <v>65+</v>
          </cell>
          <cell r="AI20" t="str">
            <v>Moderate</v>
          </cell>
          <cell r="CN20" t="str">
            <v>Z</v>
          </cell>
          <cell r="CP20" t="str">
            <v>M</v>
          </cell>
          <cell r="CQ20" t="str">
            <v>NS</v>
          </cell>
          <cell r="CR20" t="str">
            <v>O2</v>
          </cell>
          <cell r="CS20" t="str">
            <v>H1</v>
          </cell>
          <cell r="CU20" t="str">
            <v>W</v>
          </cell>
        </row>
        <row r="21">
          <cell r="L21" t="str">
            <v>Confirmed</v>
          </cell>
          <cell r="S21" t="str">
            <v>sa100v</v>
          </cell>
          <cell r="AH21" t="str">
            <v>51-64</v>
          </cell>
          <cell r="AI21" t="str">
            <v>Somewhat Liberal</v>
          </cell>
          <cell r="CN21" t="str">
            <v>Z</v>
          </cell>
          <cell r="CP21" t="str">
            <v>M</v>
          </cell>
          <cell r="CQ21" t="str">
            <v>NS</v>
          </cell>
          <cell r="CR21" t="str">
            <v>O2</v>
          </cell>
          <cell r="CS21" t="str">
            <v>H1</v>
          </cell>
          <cell r="CU21" t="str">
            <v>W</v>
          </cell>
        </row>
        <row r="22">
          <cell r="L22" t="str">
            <v>Confirmed</v>
          </cell>
          <cell r="S22" t="str">
            <v>su100p</v>
          </cell>
          <cell r="AH22" t="str">
            <v>51-64</v>
          </cell>
          <cell r="AI22" t="str">
            <v>Somewhat Liberal</v>
          </cell>
          <cell r="CN22" t="str">
            <v>E</v>
          </cell>
          <cell r="CP22" t="str">
            <v>F</v>
          </cell>
          <cell r="CQ22" t="str">
            <v>NS</v>
          </cell>
          <cell r="CR22" t="str">
            <v>O1</v>
          </cell>
          <cell r="CS22" t="str">
            <v>H2</v>
          </cell>
          <cell r="CU22" t="str">
            <v>W</v>
          </cell>
        </row>
        <row r="23">
          <cell r="L23" t="str">
            <v>Confirmed</v>
          </cell>
          <cell r="S23" t="str">
            <v>tu1230v</v>
          </cell>
          <cell r="AH23" t="str">
            <v>51-64</v>
          </cell>
          <cell r="AI23" t="str">
            <v>Moderate</v>
          </cell>
          <cell r="CN23" t="str">
            <v>Z</v>
          </cell>
          <cell r="CP23" t="str">
            <v>F</v>
          </cell>
          <cell r="CQ23" t="str">
            <v>NS</v>
          </cell>
          <cell r="CR23" t="str">
            <v>O5</v>
          </cell>
          <cell r="CS23" t="str">
            <v>H4</v>
          </cell>
          <cell r="CU23" t="str">
            <v>W</v>
          </cell>
        </row>
        <row r="24">
          <cell r="L24" t="str">
            <v>Confirmed</v>
          </cell>
          <cell r="S24" t="str">
            <v>tu630v</v>
          </cell>
          <cell r="AH24" t="str">
            <v>51-64</v>
          </cell>
          <cell r="AI24" t="str">
            <v>Very Conservative</v>
          </cell>
          <cell r="CN24" t="str">
            <v>Z</v>
          </cell>
          <cell r="CP24" t="str">
            <v>M</v>
          </cell>
          <cell r="CQ24" t="str">
            <v>NS</v>
          </cell>
          <cell r="CR24" t="str">
            <v>O5</v>
          </cell>
          <cell r="CS24" t="str">
            <v>H5</v>
          </cell>
          <cell r="CU24" t="str">
            <v>NW</v>
          </cell>
        </row>
        <row r="25">
          <cell r="L25" t="str">
            <v>Confirmed</v>
          </cell>
          <cell r="S25" t="str">
            <v>tu630v</v>
          </cell>
          <cell r="AH25" t="str">
            <v>65+</v>
          </cell>
          <cell r="AI25" t="str">
            <v>Somewhat Liberal</v>
          </cell>
          <cell r="CN25" t="str">
            <v>Z</v>
          </cell>
          <cell r="CP25" t="str">
            <v>F</v>
          </cell>
          <cell r="CQ25" t="str">
            <v>NS</v>
          </cell>
          <cell r="CR25" t="str">
            <v>O3</v>
          </cell>
          <cell r="CS25" t="str">
            <v>H2</v>
          </cell>
          <cell r="CU25" t="str">
            <v>W</v>
          </cell>
        </row>
        <row r="26">
          <cell r="L26" t="str">
            <v>Withdrawn</v>
          </cell>
          <cell r="S26"/>
          <cell r="AH26" t="str">
            <v>65+</v>
          </cell>
          <cell r="AI26" t="str">
            <v>Somewhat Liberal</v>
          </cell>
          <cell r="CN26" t="str">
            <v>Z</v>
          </cell>
          <cell r="CP26" t="str">
            <v>M</v>
          </cell>
          <cell r="CQ26" t="str">
            <v>NS</v>
          </cell>
          <cell r="CR26" t="str">
            <v>O2</v>
          </cell>
          <cell r="CS26" t="str">
            <v>H2</v>
          </cell>
          <cell r="CU26" t="str">
            <v>W</v>
          </cell>
        </row>
        <row r="27">
          <cell r="L27" t="str">
            <v>Confirmed</v>
          </cell>
          <cell r="S27" t="str">
            <v>f230p</v>
          </cell>
          <cell r="AH27" t="str">
            <v>65+</v>
          </cell>
          <cell r="AI27" t="str">
            <v>Somewhat Conservative</v>
          </cell>
          <cell r="CN27" t="str">
            <v>P</v>
          </cell>
          <cell r="CP27" t="str">
            <v>M</v>
          </cell>
          <cell r="CQ27" t="str">
            <v>NS</v>
          </cell>
          <cell r="CR27" t="str">
            <v>O5</v>
          </cell>
          <cell r="CS27" t="str">
            <v>H5</v>
          </cell>
          <cell r="CU27" t="str">
            <v>W</v>
          </cell>
        </row>
        <row r="28">
          <cell r="L28" t="str">
            <v>Confirmed</v>
          </cell>
          <cell r="S28" t="str">
            <v>Tu430p2</v>
          </cell>
          <cell r="AH28" t="str">
            <v>51-64</v>
          </cell>
          <cell r="AI28" t="str">
            <v>Moderate</v>
          </cell>
          <cell r="CN28" t="str">
            <v>E</v>
          </cell>
          <cell r="CP28" t="str">
            <v>F</v>
          </cell>
          <cell r="CQ28" t="str">
            <v>NS</v>
          </cell>
          <cell r="CR28" t="str">
            <v>O2</v>
          </cell>
          <cell r="CS28" t="str">
            <v>H2</v>
          </cell>
          <cell r="CU28" t="str">
            <v>W</v>
          </cell>
        </row>
        <row r="29">
          <cell r="L29" t="str">
            <v>Confirmed</v>
          </cell>
          <cell r="S29" t="str">
            <v>f1230v</v>
          </cell>
          <cell r="AH29" t="str">
            <v>51-64</v>
          </cell>
          <cell r="AI29" t="str">
            <v>Moderate</v>
          </cell>
          <cell r="CN29" t="str">
            <v>Z</v>
          </cell>
          <cell r="CP29" t="str">
            <v>M</v>
          </cell>
          <cell r="CQ29" t="str">
            <v>NS</v>
          </cell>
          <cell r="CR29" t="str">
            <v>O1</v>
          </cell>
          <cell r="CS29" t="str">
            <v>H2</v>
          </cell>
          <cell r="CU29" t="str">
            <v>W</v>
          </cell>
        </row>
        <row r="30">
          <cell r="L30" t="str">
            <v>Confirmed</v>
          </cell>
          <cell r="S30" t="str">
            <v>th630p</v>
          </cell>
          <cell r="AH30" t="str">
            <v>51-64</v>
          </cell>
          <cell r="AI30" t="str">
            <v>Somewhat Liberal</v>
          </cell>
          <cell r="CN30" t="str">
            <v>P</v>
          </cell>
          <cell r="CP30" t="str">
            <v>M</v>
          </cell>
          <cell r="CQ30" t="str">
            <v>NS</v>
          </cell>
          <cell r="CR30" t="str">
            <v>O3</v>
          </cell>
          <cell r="CS30" t="str">
            <v>H3</v>
          </cell>
          <cell r="CU30" t="str">
            <v>W</v>
          </cell>
        </row>
        <row r="31">
          <cell r="L31" t="str">
            <v>Registered</v>
          </cell>
          <cell r="S31" t="str">
            <v>su100p</v>
          </cell>
          <cell r="AH31" t="str">
            <v>51-64</v>
          </cell>
          <cell r="AI31" t="str">
            <v>Somewhat Liberal</v>
          </cell>
          <cell r="CN31" t="str">
            <v>E</v>
          </cell>
          <cell r="CP31" t="str">
            <v>M</v>
          </cell>
          <cell r="CQ31" t="str">
            <v>NS</v>
          </cell>
          <cell r="CR31" t="str">
            <v>O1</v>
          </cell>
          <cell r="CS31" t="str">
            <v>H1</v>
          </cell>
          <cell r="CU31" t="str">
            <v>NW</v>
          </cell>
        </row>
        <row r="32">
          <cell r="L32" t="str">
            <v>Confirmed</v>
          </cell>
          <cell r="S32" t="str">
            <v>th200v</v>
          </cell>
          <cell r="AH32" t="str">
            <v>65+</v>
          </cell>
          <cell r="AI32" t="str">
            <v>Moderate</v>
          </cell>
          <cell r="CN32" t="str">
            <v>P</v>
          </cell>
          <cell r="CP32" t="str">
            <v>M</v>
          </cell>
          <cell r="CQ32" t="str">
            <v>NS</v>
          </cell>
          <cell r="CR32" t="str">
            <v>O3</v>
          </cell>
          <cell r="CS32" t="str">
            <v>H4</v>
          </cell>
          <cell r="CU32" t="str">
            <v>W</v>
          </cell>
        </row>
        <row r="33">
          <cell r="L33" t="str">
            <v>Confirmed</v>
          </cell>
          <cell r="S33" t="str">
            <v>m1030v</v>
          </cell>
          <cell r="AH33" t="str">
            <v>51-64</v>
          </cell>
          <cell r="AI33" t="str">
            <v>Somewhat Conservative</v>
          </cell>
          <cell r="CN33" t="str">
            <v>Z</v>
          </cell>
          <cell r="CP33" t="str">
            <v>M</v>
          </cell>
          <cell r="CQ33" t="str">
            <v>NS</v>
          </cell>
          <cell r="CR33" t="str">
            <v>O3</v>
          </cell>
          <cell r="CS33" t="str">
            <v>H4</v>
          </cell>
          <cell r="CU33" t="str">
            <v>W</v>
          </cell>
        </row>
        <row r="34">
          <cell r="L34" t="str">
            <v>Confirmed</v>
          </cell>
          <cell r="S34" t="str">
            <v>tu430v</v>
          </cell>
          <cell r="AH34" t="str">
            <v>65+</v>
          </cell>
          <cell r="AI34" t="str">
            <v>Somewhat Conservative</v>
          </cell>
          <cell r="CN34" t="str">
            <v>Z</v>
          </cell>
          <cell r="CP34" t="str">
            <v>M</v>
          </cell>
          <cell r="CQ34" t="str">
            <v>NS</v>
          </cell>
          <cell r="CR34" t="str">
            <v>O3</v>
          </cell>
          <cell r="CS34" t="str">
            <v>H5</v>
          </cell>
          <cell r="CU34" t="str">
            <v>W</v>
          </cell>
        </row>
        <row r="35">
          <cell r="L35" t="str">
            <v>Confirmed</v>
          </cell>
          <cell r="S35" t="str">
            <v>tu630v</v>
          </cell>
          <cell r="AH35" t="str">
            <v>51-64</v>
          </cell>
          <cell r="AI35" t="str">
            <v>Somewhat Liberal</v>
          </cell>
          <cell r="CN35" t="str">
            <v>Z</v>
          </cell>
          <cell r="CP35" t="str">
            <v>F</v>
          </cell>
          <cell r="CQ35" t="str">
            <v>NS</v>
          </cell>
          <cell r="CR35" t="str">
            <v>O1</v>
          </cell>
          <cell r="CS35" t="str">
            <v>H3</v>
          </cell>
          <cell r="CU35" t="str">
            <v>W</v>
          </cell>
        </row>
        <row r="36">
          <cell r="L36" t="str">
            <v>Confirmed</v>
          </cell>
          <cell r="S36" t="str">
            <v>m230p</v>
          </cell>
          <cell r="AH36" t="str">
            <v>65+</v>
          </cell>
          <cell r="AI36" t="str">
            <v>Somewhat Conservative</v>
          </cell>
          <cell r="CN36" t="str">
            <v>E</v>
          </cell>
          <cell r="CP36" t="str">
            <v>M</v>
          </cell>
          <cell r="CQ36" t="str">
            <v>NS</v>
          </cell>
          <cell r="CR36" t="str">
            <v>O4</v>
          </cell>
          <cell r="CS36" t="str">
            <v>H5</v>
          </cell>
          <cell r="CU36" t="str">
            <v>W</v>
          </cell>
        </row>
        <row r="37">
          <cell r="L37" t="str">
            <v>Confirmed</v>
          </cell>
          <cell r="S37" t="str">
            <v>f1230v</v>
          </cell>
          <cell r="AH37" t="str">
            <v>65+</v>
          </cell>
          <cell r="AI37" t="str">
            <v>Somewhat Conservative</v>
          </cell>
          <cell r="CN37" t="str">
            <v>Z</v>
          </cell>
          <cell r="CP37" t="str">
            <v>M</v>
          </cell>
          <cell r="CQ37" t="str">
            <v>NS</v>
          </cell>
          <cell r="CR37" t="str">
            <v>O3</v>
          </cell>
          <cell r="CS37" t="str">
            <v>H4</v>
          </cell>
          <cell r="CU37" t="str">
            <v>W</v>
          </cell>
        </row>
        <row r="38">
          <cell r="L38" t="str">
            <v>Confirmed</v>
          </cell>
          <cell r="S38" t="str">
            <v>tu430v</v>
          </cell>
          <cell r="AH38" t="str">
            <v>51-64</v>
          </cell>
          <cell r="AI38" t="str">
            <v>Somewhat Liberal</v>
          </cell>
          <cell r="CN38" t="str">
            <v>Z</v>
          </cell>
          <cell r="CP38" t="str">
            <v>F</v>
          </cell>
          <cell r="CQ38" t="str">
            <v>NS</v>
          </cell>
          <cell r="CR38" t="str">
            <v>O1</v>
          </cell>
          <cell r="CS38" t="str">
            <v>H2</v>
          </cell>
          <cell r="CU38" t="str">
            <v>W</v>
          </cell>
        </row>
        <row r="39">
          <cell r="L39" t="str">
            <v>Confirmed</v>
          </cell>
          <cell r="S39" t="str">
            <v>th630v</v>
          </cell>
          <cell r="AH39" t="str">
            <v>30-39</v>
          </cell>
          <cell r="AI39" t="str">
            <v>Somewhat Liberal</v>
          </cell>
          <cell r="CN39" t="str">
            <v>Z</v>
          </cell>
          <cell r="CP39" t="str">
            <v>F</v>
          </cell>
          <cell r="CQ39" t="str">
            <v>NS</v>
          </cell>
          <cell r="CR39" t="str">
            <v>O2</v>
          </cell>
          <cell r="CS39" t="str">
            <v>H4</v>
          </cell>
          <cell r="CU39" t="str">
            <v>W</v>
          </cell>
        </row>
        <row r="40">
          <cell r="L40" t="str">
            <v>Withdrawn</v>
          </cell>
          <cell r="AH40" t="str">
            <v>51-64</v>
          </cell>
          <cell r="AI40" t="str">
            <v>Somewhat Liberal</v>
          </cell>
          <cell r="CN40" t="str">
            <v>Z</v>
          </cell>
          <cell r="CP40" t="str">
            <v>F</v>
          </cell>
          <cell r="CQ40" t="str">
            <v>NS</v>
          </cell>
          <cell r="CR40" t="str">
            <v>O3</v>
          </cell>
          <cell r="CS40" t="str">
            <v>H3</v>
          </cell>
          <cell r="CU40" t="str">
            <v>NW</v>
          </cell>
        </row>
        <row r="41">
          <cell r="L41" t="str">
            <v>Confirmed</v>
          </cell>
          <cell r="S41" t="str">
            <v>tu630v</v>
          </cell>
          <cell r="AB41" t="str">
            <v>Junior</v>
          </cell>
          <cell r="AH41" t="str">
            <v>18-22</v>
          </cell>
          <cell r="AI41" t="str">
            <v>Very Liberal</v>
          </cell>
          <cell r="CN41" t="str">
            <v>Z</v>
          </cell>
          <cell r="CP41" t="str">
            <v>F</v>
          </cell>
          <cell r="CQ41" t="str">
            <v>S</v>
          </cell>
          <cell r="CR41" t="str">
            <v>O1</v>
          </cell>
          <cell r="CS41" t="str">
            <v>H2</v>
          </cell>
          <cell r="CU41" t="str">
            <v>W</v>
          </cell>
        </row>
        <row r="42">
          <cell r="L42" t="str">
            <v>Withdrawn</v>
          </cell>
          <cell r="AB42" t="str">
            <v>Junior</v>
          </cell>
          <cell r="AH42" t="str">
            <v>18-22</v>
          </cell>
          <cell r="AI42" t="str">
            <v>Moderate</v>
          </cell>
          <cell r="CN42" t="str">
            <v>E</v>
          </cell>
          <cell r="CP42" t="str">
            <v>F</v>
          </cell>
          <cell r="CQ42" t="str">
            <v>S</v>
          </cell>
          <cell r="CR42" t="str">
            <v>O3</v>
          </cell>
          <cell r="CS42" t="str">
            <v>H4</v>
          </cell>
          <cell r="CU42" t="str">
            <v>W</v>
          </cell>
        </row>
        <row r="43">
          <cell r="L43" t="str">
            <v>Confirmed</v>
          </cell>
          <cell r="S43" t="str">
            <v>tu1230p</v>
          </cell>
          <cell r="AH43" t="str">
            <v>51-64</v>
          </cell>
          <cell r="AI43" t="str">
            <v>Somewhat Conservative</v>
          </cell>
          <cell r="CN43" t="str">
            <v>E</v>
          </cell>
          <cell r="CP43" t="str">
            <v>M</v>
          </cell>
          <cell r="CQ43" t="str">
            <v>NS</v>
          </cell>
          <cell r="CR43" t="str">
            <v>O4</v>
          </cell>
          <cell r="CS43" t="str">
            <v>H4</v>
          </cell>
          <cell r="CU43" t="str">
            <v>W</v>
          </cell>
        </row>
        <row r="44">
          <cell r="L44" t="str">
            <v>Confirmed</v>
          </cell>
          <cell r="S44" t="str">
            <v>m230v</v>
          </cell>
          <cell r="AH44" t="str">
            <v>40-50</v>
          </cell>
          <cell r="AI44" t="str">
            <v>Other/Prefer Not to Respond</v>
          </cell>
          <cell r="CN44" t="str">
            <v>Z</v>
          </cell>
          <cell r="CP44" t="str">
            <v>F</v>
          </cell>
          <cell r="CQ44" t="str">
            <v>NS</v>
          </cell>
          <cell r="CR44" t="str">
            <v>O1</v>
          </cell>
          <cell r="CS44" t="str">
            <v>H3</v>
          </cell>
          <cell r="CU44" t="str">
            <v>W</v>
          </cell>
        </row>
        <row r="45">
          <cell r="L45" t="str">
            <v>Withdrawn</v>
          </cell>
          <cell r="AB45" t="str">
            <v>Senior</v>
          </cell>
          <cell r="AH45" t="str">
            <v>18-22</v>
          </cell>
          <cell r="AI45" t="str">
            <v>Somewhat Liberal</v>
          </cell>
          <cell r="CN45" t="str">
            <v>E</v>
          </cell>
          <cell r="CP45" t="str">
            <v>M</v>
          </cell>
          <cell r="CQ45" t="str">
            <v>S</v>
          </cell>
          <cell r="CR45" t="str">
            <v>O2</v>
          </cell>
          <cell r="CS45" t="str">
            <v>H1</v>
          </cell>
          <cell r="CU45" t="str">
            <v>NW</v>
          </cell>
        </row>
        <row r="46">
          <cell r="L46" t="str">
            <v>Confirmed</v>
          </cell>
          <cell r="S46" t="str">
            <v>th630p</v>
          </cell>
          <cell r="AB46" t="str">
            <v>First Year</v>
          </cell>
          <cell r="AH46" t="str">
            <v>18-22</v>
          </cell>
          <cell r="AI46" t="str">
            <v>Somewhat Liberal</v>
          </cell>
          <cell r="CN46" t="str">
            <v>P</v>
          </cell>
          <cell r="CP46" t="str">
            <v>F</v>
          </cell>
          <cell r="CQ46" t="str">
            <v>S</v>
          </cell>
          <cell r="CR46" t="str">
            <v>O2</v>
          </cell>
          <cell r="CS46" t="str">
            <v>H2</v>
          </cell>
          <cell r="CU46" t="str">
            <v>W</v>
          </cell>
        </row>
        <row r="47">
          <cell r="L47" t="str">
            <v>Confirmed</v>
          </cell>
          <cell r="S47" t="str">
            <v>m230p</v>
          </cell>
          <cell r="AH47" t="str">
            <v>23-29</v>
          </cell>
          <cell r="AI47" t="str">
            <v>Somewhat Conservative</v>
          </cell>
          <cell r="CN47" t="str">
            <v>E</v>
          </cell>
          <cell r="CP47" t="str">
            <v>F</v>
          </cell>
          <cell r="CQ47" t="str">
            <v>NS</v>
          </cell>
          <cell r="CR47" t="str">
            <v>O2</v>
          </cell>
          <cell r="CS47" t="str">
            <v>H4</v>
          </cell>
          <cell r="CU47" t="str">
            <v>W</v>
          </cell>
        </row>
        <row r="48">
          <cell r="L48" t="str">
            <v>Confirmed</v>
          </cell>
          <cell r="S48" t="str">
            <v>th630p</v>
          </cell>
          <cell r="AB48" t="str">
            <v>Senior</v>
          </cell>
          <cell r="AH48" t="str">
            <v>18-22</v>
          </cell>
          <cell r="AI48" t="str">
            <v>Somewhat Liberal</v>
          </cell>
          <cell r="CN48" t="str">
            <v>P</v>
          </cell>
          <cell r="CP48" t="str">
            <v>F</v>
          </cell>
          <cell r="CQ48" t="str">
            <v>S</v>
          </cell>
          <cell r="CR48" t="str">
            <v>O2</v>
          </cell>
          <cell r="CS48" t="str">
            <v>H1</v>
          </cell>
          <cell r="CU48" t="str">
            <v>NW</v>
          </cell>
        </row>
        <row r="49">
          <cell r="L49" t="str">
            <v>Confirmed</v>
          </cell>
          <cell r="S49" t="str">
            <v>th200v</v>
          </cell>
          <cell r="AB49" t="str">
            <v>First Year</v>
          </cell>
          <cell r="AH49" t="str">
            <v>18-22</v>
          </cell>
          <cell r="AI49" t="str">
            <v>Moderate</v>
          </cell>
          <cell r="CN49" t="str">
            <v>E</v>
          </cell>
          <cell r="CP49" t="str">
            <v>M</v>
          </cell>
          <cell r="CQ49" t="str">
            <v>S</v>
          </cell>
          <cell r="CR49" t="str">
            <v>O1</v>
          </cell>
          <cell r="CS49" t="str">
            <v>H2</v>
          </cell>
          <cell r="CU49" t="str">
            <v>NW</v>
          </cell>
        </row>
        <row r="50">
          <cell r="L50" t="str">
            <v>Confirmed</v>
          </cell>
          <cell r="S50" t="str">
            <v>f1230v</v>
          </cell>
          <cell r="AB50" t="str">
            <v>Sophomore</v>
          </cell>
          <cell r="AH50" t="str">
            <v>18-22</v>
          </cell>
          <cell r="AI50" t="str">
            <v>Somewhat Conservative</v>
          </cell>
          <cell r="CN50" t="str">
            <v>E</v>
          </cell>
          <cell r="CP50" t="str">
            <v>F</v>
          </cell>
          <cell r="CQ50" t="str">
            <v>S</v>
          </cell>
          <cell r="CR50" t="str">
            <v>O5</v>
          </cell>
          <cell r="CS50" t="str">
            <v>H5</v>
          </cell>
          <cell r="CU50" t="str">
            <v>W</v>
          </cell>
        </row>
        <row r="51">
          <cell r="L51" t="str">
            <v>Confirmed</v>
          </cell>
          <cell r="S51" t="str">
            <v>Tu430p2</v>
          </cell>
          <cell r="AB51" t="str">
            <v>First Year</v>
          </cell>
          <cell r="AH51" t="str">
            <v>18-22</v>
          </cell>
          <cell r="AI51" t="str">
            <v>Moderate</v>
          </cell>
          <cell r="CN51" t="str">
            <v>E</v>
          </cell>
          <cell r="CP51" t="str">
            <v>M</v>
          </cell>
          <cell r="CQ51" t="str">
            <v>S</v>
          </cell>
          <cell r="CR51" t="str">
            <v>O4</v>
          </cell>
          <cell r="CS51" t="str">
            <v>H3</v>
          </cell>
          <cell r="CU51" t="str">
            <v>NW</v>
          </cell>
        </row>
        <row r="52">
          <cell r="L52" t="str">
            <v>Confirmed</v>
          </cell>
          <cell r="S52" t="str">
            <v>sa1000v</v>
          </cell>
          <cell r="AH52" t="str">
            <v>65+</v>
          </cell>
          <cell r="AI52" t="str">
            <v>Somewhat Liberal</v>
          </cell>
          <cell r="CN52" t="str">
            <v>Z</v>
          </cell>
          <cell r="CP52" t="str">
            <v>F</v>
          </cell>
          <cell r="CQ52" t="str">
            <v>NS</v>
          </cell>
          <cell r="CR52" t="str">
            <v>O1</v>
          </cell>
          <cell r="CS52" t="str">
            <v>H3</v>
          </cell>
          <cell r="CU52" t="str">
            <v>W</v>
          </cell>
        </row>
        <row r="53">
          <cell r="L53" t="str">
            <v>Confirmed</v>
          </cell>
          <cell r="S53" t="str">
            <v>tu630p</v>
          </cell>
          <cell r="AH53" t="str">
            <v>51-64</v>
          </cell>
          <cell r="AI53" t="str">
            <v>Somewhat Liberal</v>
          </cell>
          <cell r="CN53" t="str">
            <v>E</v>
          </cell>
          <cell r="CP53" t="str">
            <v>F</v>
          </cell>
          <cell r="CQ53" t="str">
            <v>NS</v>
          </cell>
          <cell r="CR53" t="str">
            <v>O2</v>
          </cell>
          <cell r="CS53" t="str">
            <v>H2</v>
          </cell>
          <cell r="CU53" t="str">
            <v>W</v>
          </cell>
        </row>
        <row r="54">
          <cell r="L54" t="str">
            <v>Confirmed</v>
          </cell>
          <cell r="S54" t="str">
            <v>th630p</v>
          </cell>
          <cell r="AB54" t="str">
            <v>Sophomore</v>
          </cell>
          <cell r="AH54" t="str">
            <v>18-22</v>
          </cell>
          <cell r="AI54" t="str">
            <v>Other/Prefer Not to Respond</v>
          </cell>
          <cell r="CN54" t="str">
            <v>E</v>
          </cell>
          <cell r="CP54" t="str">
            <v>F</v>
          </cell>
          <cell r="CQ54" t="str">
            <v>S</v>
          </cell>
          <cell r="CR54" t="str">
            <v>O4</v>
          </cell>
          <cell r="CS54" t="str">
            <v>H4</v>
          </cell>
          <cell r="CU54" t="str">
            <v>W</v>
          </cell>
        </row>
        <row r="55">
          <cell r="L55" t="str">
            <v>Confirmed</v>
          </cell>
          <cell r="S55" t="str">
            <v>su100p</v>
          </cell>
          <cell r="AH55" t="str">
            <v>65+</v>
          </cell>
          <cell r="AI55" t="str">
            <v>Very Liberal</v>
          </cell>
          <cell r="CN55" t="str">
            <v>P</v>
          </cell>
          <cell r="CP55" t="str">
            <v>F</v>
          </cell>
          <cell r="CQ55" t="str">
            <v>NS</v>
          </cell>
          <cell r="CR55" t="str">
            <v>O1</v>
          </cell>
          <cell r="CS55" t="str">
            <v>H2</v>
          </cell>
          <cell r="CU55" t="str">
            <v>W</v>
          </cell>
        </row>
        <row r="56">
          <cell r="L56" t="str">
            <v>Confirmed</v>
          </cell>
          <cell r="S56" t="str">
            <v>Fellow</v>
          </cell>
          <cell r="AB56" t="str">
            <v>First Year</v>
          </cell>
          <cell r="AH56" t="str">
            <v>18-22</v>
          </cell>
          <cell r="AI56" t="str">
            <v>Somewhat Liberal</v>
          </cell>
          <cell r="CN56" t="str">
            <v>E</v>
          </cell>
          <cell r="CP56" t="str">
            <v>F</v>
          </cell>
          <cell r="CQ56" t="str">
            <v>S</v>
          </cell>
          <cell r="CR56" t="str">
            <v>O1</v>
          </cell>
          <cell r="CS56" t="str">
            <v>H2</v>
          </cell>
          <cell r="CU56" t="str">
            <v>W</v>
          </cell>
        </row>
        <row r="57">
          <cell r="L57" t="str">
            <v>Confirmed</v>
          </cell>
          <cell r="S57" t="str">
            <v>tu630v</v>
          </cell>
          <cell r="AB57" t="str">
            <v>First Year</v>
          </cell>
          <cell r="AH57" t="str">
            <v>65+</v>
          </cell>
          <cell r="AI57" t="str">
            <v>Somewhat Liberal</v>
          </cell>
          <cell r="CN57" t="str">
            <v>Z</v>
          </cell>
          <cell r="CP57" t="str">
            <v>M</v>
          </cell>
          <cell r="CQ57" t="str">
            <v>NS</v>
          </cell>
          <cell r="CR57" t="str">
            <v>O3</v>
          </cell>
          <cell r="CS57" t="str">
            <v>H2</v>
          </cell>
          <cell r="CU57" t="str">
            <v>W</v>
          </cell>
        </row>
        <row r="58">
          <cell r="L58" t="str">
            <v>Confirmed</v>
          </cell>
          <cell r="S58" t="str">
            <v>tu430v</v>
          </cell>
          <cell r="AB58" t="str">
            <v>Sophomore</v>
          </cell>
          <cell r="AH58" t="str">
            <v>18-22</v>
          </cell>
          <cell r="AI58" t="str">
            <v>Very Liberal</v>
          </cell>
          <cell r="CN58" t="str">
            <v>Z</v>
          </cell>
          <cell r="CP58" t="str">
            <v>F</v>
          </cell>
          <cell r="CQ58" t="str">
            <v>S</v>
          </cell>
          <cell r="CR58" t="str">
            <v>O1</v>
          </cell>
          <cell r="CS58" t="str">
            <v>H2</v>
          </cell>
          <cell r="CU58" t="str">
            <v>NW</v>
          </cell>
        </row>
        <row r="59">
          <cell r="L59" t="str">
            <v>Confirmed</v>
          </cell>
          <cell r="S59" t="str">
            <v>th200v</v>
          </cell>
          <cell r="AB59" t="str">
            <v>First Year</v>
          </cell>
          <cell r="AH59" t="str">
            <v>18-22</v>
          </cell>
          <cell r="AI59" t="str">
            <v>Moderate</v>
          </cell>
          <cell r="CN59" t="str">
            <v>P</v>
          </cell>
          <cell r="CP59" t="str">
            <v>M</v>
          </cell>
          <cell r="CQ59" t="str">
            <v>S</v>
          </cell>
          <cell r="CR59" t="str">
            <v>O2</v>
          </cell>
          <cell r="CS59" t="str">
            <v>H3</v>
          </cell>
          <cell r="CU59" t="str">
            <v>W</v>
          </cell>
        </row>
        <row r="60">
          <cell r="L60" t="str">
            <v>Confirmed</v>
          </cell>
          <cell r="S60" t="str">
            <v>sa1000v</v>
          </cell>
          <cell r="AH60" t="str">
            <v>65+</v>
          </cell>
          <cell r="AI60" t="str">
            <v>Moderate</v>
          </cell>
          <cell r="CN60" t="str">
            <v>Z</v>
          </cell>
          <cell r="CP60" t="str">
            <v>M</v>
          </cell>
          <cell r="CQ60" t="str">
            <v>NS</v>
          </cell>
          <cell r="CR60" t="str">
            <v>O4</v>
          </cell>
          <cell r="CS60" t="str">
            <v>H3</v>
          </cell>
          <cell r="CU60" t="str">
            <v>W</v>
          </cell>
        </row>
        <row r="61">
          <cell r="L61" t="str">
            <v>Confirmed</v>
          </cell>
          <cell r="S61" t="str">
            <v>th630v</v>
          </cell>
          <cell r="AB61" t="str">
            <v>First Year</v>
          </cell>
          <cell r="AH61" t="str">
            <v>Prefer Not to Respond</v>
          </cell>
          <cell r="AI61" t="str">
            <v>Somewhat Liberal</v>
          </cell>
          <cell r="CN61" t="str">
            <v>E</v>
          </cell>
          <cell r="CP61" t="str">
            <v>F</v>
          </cell>
          <cell r="CQ61" t="str">
            <v>S</v>
          </cell>
          <cell r="CR61" t="str">
            <v>O4</v>
          </cell>
          <cell r="CS61" t="str">
            <v>H2</v>
          </cell>
          <cell r="CU61" t="str">
            <v>W</v>
          </cell>
        </row>
        <row r="62">
          <cell r="L62" t="str">
            <v>Confirmed</v>
          </cell>
          <cell r="S62" t="str">
            <v>tu630v</v>
          </cell>
          <cell r="AB62" t="str">
            <v>Junior</v>
          </cell>
          <cell r="AH62" t="str">
            <v>18-22</v>
          </cell>
          <cell r="AI62" t="str">
            <v>Other/Prefer Not to Respond</v>
          </cell>
          <cell r="CN62" t="str">
            <v>Z</v>
          </cell>
          <cell r="CP62" t="str">
            <v>M</v>
          </cell>
          <cell r="CQ62" t="str">
            <v>S</v>
          </cell>
          <cell r="CR62" t="str">
            <v>O4</v>
          </cell>
          <cell r="CS62" t="str">
            <v>H4</v>
          </cell>
          <cell r="CU62" t="str">
            <v>W</v>
          </cell>
        </row>
        <row r="63">
          <cell r="L63" t="str">
            <v>Confirmed</v>
          </cell>
          <cell r="S63" t="str">
            <v>tu430p1</v>
          </cell>
          <cell r="AB63" t="str">
            <v>First Year</v>
          </cell>
          <cell r="AH63" t="str">
            <v>18-22</v>
          </cell>
          <cell r="AI63" t="str">
            <v>Somewhat Liberal</v>
          </cell>
          <cell r="CN63" t="str">
            <v>P</v>
          </cell>
          <cell r="CP63" t="str">
            <v>F</v>
          </cell>
          <cell r="CQ63" t="str">
            <v>S</v>
          </cell>
          <cell r="CR63" t="str">
            <v>O4</v>
          </cell>
          <cell r="CS63" t="str">
            <v>H2</v>
          </cell>
          <cell r="CU63" t="str">
            <v>W</v>
          </cell>
        </row>
        <row r="64">
          <cell r="L64" t="str">
            <v>Confirmed</v>
          </cell>
          <cell r="S64" t="str">
            <v>Tu430p2</v>
          </cell>
          <cell r="AB64" t="str">
            <v>First Year</v>
          </cell>
          <cell r="AH64" t="str">
            <v>18-22</v>
          </cell>
          <cell r="AI64" t="str">
            <v>Moderate</v>
          </cell>
          <cell r="CN64" t="str">
            <v>P</v>
          </cell>
          <cell r="CP64" t="str">
            <v>M</v>
          </cell>
          <cell r="CQ64" t="str">
            <v>S</v>
          </cell>
          <cell r="CR64" t="str">
            <v>O2</v>
          </cell>
          <cell r="CS64" t="str">
            <v>H1</v>
          </cell>
          <cell r="CU64" t="str">
            <v>NW</v>
          </cell>
        </row>
        <row r="65">
          <cell r="L65" t="str">
            <v>Confirmed</v>
          </cell>
          <cell r="S65" t="str">
            <v>tu1230v</v>
          </cell>
          <cell r="AH65" t="str">
            <v>65+</v>
          </cell>
          <cell r="AI65" t="str">
            <v>Somewhat Conservative</v>
          </cell>
          <cell r="CN65" t="str">
            <v>E</v>
          </cell>
          <cell r="CP65" t="str">
            <v>M</v>
          </cell>
          <cell r="CQ65" t="str">
            <v>NS</v>
          </cell>
          <cell r="CR65" t="str">
            <v>O4</v>
          </cell>
          <cell r="CS65" t="str">
            <v>H5</v>
          </cell>
          <cell r="CU65" t="str">
            <v>W</v>
          </cell>
        </row>
        <row r="66">
          <cell r="L66" t="str">
            <v>Confirmed</v>
          </cell>
          <cell r="S66" t="str">
            <v>tu630v</v>
          </cell>
          <cell r="AH66" t="str">
            <v>40-50</v>
          </cell>
          <cell r="AI66" t="str">
            <v>Somewhat Liberal</v>
          </cell>
          <cell r="CN66" t="str">
            <v>Z</v>
          </cell>
          <cell r="CP66" t="str">
            <v>F</v>
          </cell>
          <cell r="CQ66" t="str">
            <v>NS</v>
          </cell>
          <cell r="CR66" t="str">
            <v>O2</v>
          </cell>
          <cell r="CS66" t="str">
            <v>H2</v>
          </cell>
          <cell r="CU66" t="str">
            <v>W</v>
          </cell>
        </row>
        <row r="67">
          <cell r="L67" t="str">
            <v>Confirmed</v>
          </cell>
          <cell r="S67" t="str">
            <v>tu430v</v>
          </cell>
          <cell r="AB67" t="str">
            <v>Sophomore</v>
          </cell>
          <cell r="AH67" t="str">
            <v>18-22</v>
          </cell>
          <cell r="AI67" t="str">
            <v>Very Liberal</v>
          </cell>
          <cell r="CN67" t="str">
            <v>E</v>
          </cell>
          <cell r="CP67" t="str">
            <v>F</v>
          </cell>
          <cell r="CQ67" t="str">
            <v>S</v>
          </cell>
          <cell r="CR67" t="str">
            <v>O2</v>
          </cell>
          <cell r="CS67" t="str">
            <v>H2</v>
          </cell>
          <cell r="CU67" t="str">
            <v>W</v>
          </cell>
        </row>
        <row r="68">
          <cell r="L68" t="str">
            <v>Confirmed</v>
          </cell>
          <cell r="S68" t="str">
            <v>th200v</v>
          </cell>
          <cell r="AH68" t="str">
            <v>65+</v>
          </cell>
          <cell r="AI68" t="str">
            <v>Somewhat Liberal</v>
          </cell>
          <cell r="CN68" t="str">
            <v>Z</v>
          </cell>
          <cell r="CP68" t="str">
            <v>F</v>
          </cell>
          <cell r="CQ68" t="str">
            <v>NS</v>
          </cell>
          <cell r="CR68" t="str">
            <v>O2</v>
          </cell>
          <cell r="CS68" t="str">
            <v>H2</v>
          </cell>
          <cell r="CU68" t="str">
            <v>W</v>
          </cell>
        </row>
        <row r="69">
          <cell r="L69" t="str">
            <v>Confirmed</v>
          </cell>
          <cell r="S69" t="str">
            <v>f230p</v>
          </cell>
          <cell r="AH69" t="str">
            <v>65+</v>
          </cell>
          <cell r="AI69" t="str">
            <v>Moderate</v>
          </cell>
          <cell r="CN69" t="str">
            <v>P</v>
          </cell>
          <cell r="CP69" t="str">
            <v>M</v>
          </cell>
          <cell r="CQ69" t="str">
            <v>NS</v>
          </cell>
          <cell r="CR69" t="str">
            <v>O2</v>
          </cell>
          <cell r="CS69" t="str">
            <v>H2</v>
          </cell>
          <cell r="CU69" t="str">
            <v>W</v>
          </cell>
        </row>
        <row r="70">
          <cell r="L70" t="str">
            <v>Confirmed</v>
          </cell>
          <cell r="S70" t="str">
            <v>Fellow</v>
          </cell>
          <cell r="AB70" t="str">
            <v>Sophomore</v>
          </cell>
          <cell r="AH70" t="str">
            <v>18-22</v>
          </cell>
          <cell r="AI70" t="str">
            <v>Very Liberal</v>
          </cell>
          <cell r="CN70" t="str">
            <v>E</v>
          </cell>
          <cell r="CP70" t="str">
            <v>F</v>
          </cell>
          <cell r="CQ70" t="str">
            <v>S</v>
          </cell>
          <cell r="CR70" t="str">
            <v>O2</v>
          </cell>
          <cell r="CS70" t="str">
            <v>H1</v>
          </cell>
          <cell r="CU70" t="str">
            <v>NW</v>
          </cell>
        </row>
        <row r="71">
          <cell r="L71" t="str">
            <v>Confirmed</v>
          </cell>
          <cell r="S71" t="str">
            <v>Fellow</v>
          </cell>
          <cell r="AB71" t="str">
            <v>Sophomore</v>
          </cell>
          <cell r="AH71" t="str">
            <v>18-22</v>
          </cell>
          <cell r="AI71" t="str">
            <v>Somewhat Liberal</v>
          </cell>
          <cell r="CN71" t="str">
            <v>E</v>
          </cell>
          <cell r="CP71" t="str">
            <v>M</v>
          </cell>
          <cell r="CQ71" t="str">
            <v>S</v>
          </cell>
          <cell r="CR71" t="str">
            <v>O3</v>
          </cell>
          <cell r="CS71" t="str">
            <v>H3</v>
          </cell>
          <cell r="CU71" t="str">
            <v>NW</v>
          </cell>
        </row>
        <row r="72">
          <cell r="L72" t="str">
            <v>Confirmed</v>
          </cell>
          <cell r="S72" t="str">
            <v>sa100v</v>
          </cell>
          <cell r="AB72" t="str">
            <v>Sophomore</v>
          </cell>
          <cell r="AH72" t="str">
            <v>18-22</v>
          </cell>
          <cell r="AI72" t="str">
            <v>Somewhat Liberal</v>
          </cell>
          <cell r="CN72" t="str">
            <v>P</v>
          </cell>
          <cell r="CP72" t="str">
            <v>F</v>
          </cell>
          <cell r="CQ72" t="str">
            <v>S</v>
          </cell>
          <cell r="CR72" t="str">
            <v>O1</v>
          </cell>
          <cell r="CS72" t="str">
            <v>H5</v>
          </cell>
          <cell r="CU72" t="str">
            <v>NW</v>
          </cell>
        </row>
        <row r="73">
          <cell r="L73" t="str">
            <v>Confirmed</v>
          </cell>
          <cell r="S73" t="str">
            <v>Fellow</v>
          </cell>
          <cell r="AB73" t="str">
            <v>Sophomore</v>
          </cell>
          <cell r="AH73" t="str">
            <v>18-22</v>
          </cell>
          <cell r="AI73" t="str">
            <v>Somewhat Liberal</v>
          </cell>
          <cell r="CN73" t="str">
            <v>E</v>
          </cell>
          <cell r="CP73" t="str">
            <v>M</v>
          </cell>
          <cell r="CQ73" t="str">
            <v>S</v>
          </cell>
          <cell r="CR73" t="str">
            <v>O4</v>
          </cell>
          <cell r="CS73" t="str">
            <v>H2</v>
          </cell>
          <cell r="CU73" t="str">
            <v>W</v>
          </cell>
        </row>
        <row r="75">
          <cell r="L75" t="str">
            <v>Withdrawn</v>
          </cell>
          <cell r="AH75" t="str">
            <v>30-39</v>
          </cell>
          <cell r="AI75" t="str">
            <v>Moderate</v>
          </cell>
          <cell r="CN75" t="str">
            <v>P</v>
          </cell>
          <cell r="CP75" t="str">
            <v>M</v>
          </cell>
          <cell r="CQ75" t="str">
            <v>NS</v>
          </cell>
          <cell r="CR75" t="str">
            <v>O4</v>
          </cell>
          <cell r="CS75" t="str">
            <v>H1</v>
          </cell>
          <cell r="CU75" t="str">
            <v>NW</v>
          </cell>
        </row>
        <row r="76">
          <cell r="L76" t="str">
            <v>Confirmed</v>
          </cell>
          <cell r="S76" t="str">
            <v>Fellow</v>
          </cell>
          <cell r="AB76" t="str">
            <v>Sophomore</v>
          </cell>
          <cell r="AH76" t="str">
            <v>18-22</v>
          </cell>
          <cell r="AI76" t="str">
            <v>Very Liberal</v>
          </cell>
          <cell r="CN76" t="str">
            <v>E</v>
          </cell>
          <cell r="CP76" t="str">
            <v>M</v>
          </cell>
          <cell r="CQ76" t="str">
            <v>S</v>
          </cell>
          <cell r="CR76" t="str">
            <v>O2</v>
          </cell>
          <cell r="CS76" t="str">
            <v>H1</v>
          </cell>
          <cell r="CU76" t="str">
            <v>W</v>
          </cell>
        </row>
        <row r="77">
          <cell r="L77" t="str">
            <v>Confirmed</v>
          </cell>
          <cell r="S77" t="str">
            <v>Sa100v</v>
          </cell>
          <cell r="AB77" t="str">
            <v>Junior</v>
          </cell>
          <cell r="AH77" t="str">
            <v>18-22</v>
          </cell>
          <cell r="AI77" t="str">
            <v>Somewhat Liberal</v>
          </cell>
          <cell r="CN77" t="str">
            <v>E</v>
          </cell>
          <cell r="CP77" t="str">
            <v>F</v>
          </cell>
          <cell r="CQ77" t="str">
            <v>S</v>
          </cell>
          <cell r="CR77" t="str">
            <v>O1</v>
          </cell>
          <cell r="CS77" t="str">
            <v>H1</v>
          </cell>
          <cell r="CU77" t="str">
            <v>NW</v>
          </cell>
        </row>
        <row r="78">
          <cell r="L78" t="str">
            <v>Confirmed</v>
          </cell>
          <cell r="S78" t="str">
            <v>Fellow</v>
          </cell>
          <cell r="AB78" t="str">
            <v>Sophomore</v>
          </cell>
          <cell r="AH78" t="str">
            <v>18-22</v>
          </cell>
          <cell r="AI78" t="str">
            <v>Somewhat Liberal</v>
          </cell>
          <cell r="CN78" t="str">
            <v>E</v>
          </cell>
          <cell r="CP78" t="str">
            <v>F</v>
          </cell>
          <cell r="CQ78" t="str">
            <v>S</v>
          </cell>
          <cell r="CR78" t="str">
            <v>O5</v>
          </cell>
          <cell r="CS78" t="str">
            <v>H2</v>
          </cell>
          <cell r="CU78" t="str">
            <v>NW</v>
          </cell>
        </row>
        <row r="79">
          <cell r="L79" t="str">
            <v>Withdrawn</v>
          </cell>
          <cell r="S79"/>
          <cell r="AH79" t="str">
            <v>51-64</v>
          </cell>
          <cell r="AI79" t="str">
            <v>Somewhat Liberal</v>
          </cell>
          <cell r="CN79" t="str">
            <v>Z</v>
          </cell>
          <cell r="CP79" t="str">
            <v>F</v>
          </cell>
          <cell r="CQ79" t="str">
            <v>NS</v>
          </cell>
          <cell r="CR79" t="str">
            <v>O3</v>
          </cell>
          <cell r="CS79" t="str">
            <v>H1</v>
          </cell>
          <cell r="CU79" t="str">
            <v>W</v>
          </cell>
        </row>
        <row r="80">
          <cell r="L80" t="str">
            <v>Withdrawn</v>
          </cell>
          <cell r="AH80" t="str">
            <v>65+</v>
          </cell>
          <cell r="AI80" t="str">
            <v>Somewhat Conservative</v>
          </cell>
          <cell r="CN80" t="str">
            <v>E</v>
          </cell>
          <cell r="CP80" t="str">
            <v>M</v>
          </cell>
          <cell r="CQ80" t="str">
            <v>NS</v>
          </cell>
          <cell r="CR80" t="str">
            <v>O5</v>
          </cell>
          <cell r="CS80" t="str">
            <v>H5</v>
          </cell>
          <cell r="CU80" t="str">
            <v>W</v>
          </cell>
        </row>
        <row r="81">
          <cell r="L81" t="str">
            <v>Confirmed</v>
          </cell>
          <cell r="S81" t="str">
            <v>tu630p</v>
          </cell>
          <cell r="AB81" t="str">
            <v>First Year</v>
          </cell>
          <cell r="AH81" t="str">
            <v>18-22</v>
          </cell>
          <cell r="AI81" t="str">
            <v>Moderate</v>
          </cell>
          <cell r="CN81" t="str">
            <v>E</v>
          </cell>
          <cell r="CP81" t="str">
            <v>M</v>
          </cell>
          <cell r="CQ81" t="str">
            <v>S</v>
          </cell>
          <cell r="CR81" t="str">
            <v>O2</v>
          </cell>
          <cell r="CS81" t="str">
            <v>H2</v>
          </cell>
          <cell r="CU81" t="str">
            <v>NW</v>
          </cell>
        </row>
        <row r="82">
          <cell r="L82" t="str">
            <v>Confirmed</v>
          </cell>
          <cell r="S82" t="str">
            <v>Fellow</v>
          </cell>
          <cell r="AB82" t="str">
            <v>Sophomore</v>
          </cell>
          <cell r="AH82" t="str">
            <v>18-22</v>
          </cell>
          <cell r="AI82" t="str">
            <v>Somewhat Liberal</v>
          </cell>
          <cell r="CN82" t="str">
            <v>E</v>
          </cell>
          <cell r="CP82" t="str">
            <v>M</v>
          </cell>
          <cell r="CQ82" t="str">
            <v>S</v>
          </cell>
          <cell r="CR82" t="str">
            <v>O1</v>
          </cell>
          <cell r="CS82" t="str">
            <v>H1</v>
          </cell>
          <cell r="CU82" t="str">
            <v>NW</v>
          </cell>
        </row>
        <row r="83">
          <cell r="L83" t="str">
            <v>Confirmed</v>
          </cell>
          <cell r="S83" t="str">
            <v>Fellow</v>
          </cell>
          <cell r="AB83" t="str">
            <v>Sophomore</v>
          </cell>
          <cell r="AH83" t="str">
            <v>18-22</v>
          </cell>
          <cell r="AI83" t="str">
            <v>Very Liberal</v>
          </cell>
          <cell r="CN83" t="str">
            <v>E</v>
          </cell>
          <cell r="CP83" t="str">
            <v>F</v>
          </cell>
          <cell r="CQ83" t="str">
            <v>S</v>
          </cell>
          <cell r="CR83" t="str">
            <v>O1</v>
          </cell>
          <cell r="CS83" t="str">
            <v>H1</v>
          </cell>
          <cell r="CU83" t="str">
            <v>NW</v>
          </cell>
        </row>
        <row r="84">
          <cell r="L84" t="str">
            <v>Withdrawn</v>
          </cell>
          <cell r="AH84" t="str">
            <v>40-50</v>
          </cell>
          <cell r="AI84" t="str">
            <v>Moderate</v>
          </cell>
          <cell r="CN84" t="str">
            <v>Z</v>
          </cell>
          <cell r="CP84" t="str">
            <v>M</v>
          </cell>
          <cell r="CQ84" t="str">
            <v>NS</v>
          </cell>
          <cell r="CR84" t="str">
            <v>O2</v>
          </cell>
          <cell r="CS84" t="str">
            <v>H4</v>
          </cell>
          <cell r="CU84" t="str">
            <v>W</v>
          </cell>
        </row>
        <row r="85">
          <cell r="L85" t="str">
            <v>Confirmed</v>
          </cell>
          <cell r="S85" t="str">
            <v>f230p</v>
          </cell>
          <cell r="AB85" t="str">
            <v>Sophomore</v>
          </cell>
          <cell r="AH85" t="str">
            <v>18-22</v>
          </cell>
          <cell r="AI85" t="str">
            <v>Moderate</v>
          </cell>
          <cell r="CN85" t="str">
            <v>E</v>
          </cell>
          <cell r="CP85" t="str">
            <v>F</v>
          </cell>
          <cell r="CQ85" t="str">
            <v>S</v>
          </cell>
          <cell r="CR85" t="str">
            <v>O1</v>
          </cell>
          <cell r="CS85" t="str">
            <v>H3</v>
          </cell>
          <cell r="CU85" t="str">
            <v>NW</v>
          </cell>
        </row>
        <row r="86">
          <cell r="L86" t="str">
            <v>Confirmed</v>
          </cell>
          <cell r="S86" t="str">
            <v>Tu430p2</v>
          </cell>
          <cell r="AH86" t="str">
            <v>65+</v>
          </cell>
          <cell r="AI86" t="str">
            <v>Moderate</v>
          </cell>
          <cell r="CN86" t="str">
            <v>P</v>
          </cell>
          <cell r="CP86" t="str">
            <v>M</v>
          </cell>
          <cell r="CQ86" t="str">
            <v>NS</v>
          </cell>
          <cell r="CR86" t="str">
            <v>O2</v>
          </cell>
          <cell r="CS86" t="str">
            <v>H5</v>
          </cell>
          <cell r="CU86" t="str">
            <v>W</v>
          </cell>
        </row>
        <row r="87">
          <cell r="L87" t="str">
            <v>Confirmed</v>
          </cell>
          <cell r="S87" t="str">
            <v>tu630p</v>
          </cell>
          <cell r="AB87" t="str">
            <v>Sophomore</v>
          </cell>
          <cell r="AH87" t="str">
            <v>18-22</v>
          </cell>
          <cell r="AI87" t="str">
            <v>Somewhat Liberal</v>
          </cell>
          <cell r="CN87" t="str">
            <v>P</v>
          </cell>
          <cell r="CP87" t="str">
            <v>M</v>
          </cell>
          <cell r="CQ87" t="str">
            <v>S</v>
          </cell>
          <cell r="CR87" t="str">
            <v>O1</v>
          </cell>
          <cell r="CS87" t="str">
            <v>H2</v>
          </cell>
          <cell r="CU87" t="str">
            <v>W</v>
          </cell>
        </row>
        <row r="88">
          <cell r="L88" t="str">
            <v>Confirmed</v>
          </cell>
          <cell r="S88" t="str">
            <v>tu430p1</v>
          </cell>
          <cell r="AH88" t="str">
            <v>40-50</v>
          </cell>
          <cell r="AI88" t="str">
            <v>Somewhat Liberal</v>
          </cell>
          <cell r="CN88" t="str">
            <v>P</v>
          </cell>
          <cell r="CP88" t="str">
            <v>M</v>
          </cell>
          <cell r="CQ88" t="str">
            <v>NS</v>
          </cell>
          <cell r="CR88" t="str">
            <v>O2</v>
          </cell>
          <cell r="CS88" t="str">
            <v>H2</v>
          </cell>
          <cell r="CU88" t="str">
            <v>W</v>
          </cell>
        </row>
        <row r="89">
          <cell r="L89" t="str">
            <v>Confirmed</v>
          </cell>
          <cell r="S89" t="str">
            <v>tu1230p</v>
          </cell>
          <cell r="AB89" t="str">
            <v>First Year</v>
          </cell>
          <cell r="AH89" t="str">
            <v>18-22</v>
          </cell>
          <cell r="AI89" t="str">
            <v>Somewhat Liberal</v>
          </cell>
          <cell r="CN89" t="str">
            <v>E</v>
          </cell>
          <cell r="CP89" t="str">
            <v>F</v>
          </cell>
          <cell r="CQ89" t="str">
            <v>S</v>
          </cell>
          <cell r="CR89" t="str">
            <v>O2</v>
          </cell>
          <cell r="CS89" t="str">
            <v>H2</v>
          </cell>
          <cell r="CU89" t="str">
            <v>W</v>
          </cell>
        </row>
        <row r="90">
          <cell r="L90" t="str">
            <v>Confirmed</v>
          </cell>
          <cell r="S90" t="str">
            <v>tu630v</v>
          </cell>
          <cell r="AB90" t="str">
            <v>Sophomore</v>
          </cell>
          <cell r="AH90" t="str">
            <v>18-22</v>
          </cell>
          <cell r="AI90" t="str">
            <v>Very Liberal</v>
          </cell>
          <cell r="CN90" t="str">
            <v>E</v>
          </cell>
          <cell r="CP90" t="str">
            <v>F</v>
          </cell>
          <cell r="CQ90" t="str">
            <v>S</v>
          </cell>
          <cell r="CR90" t="str">
            <v>O4</v>
          </cell>
          <cell r="CS90" t="str">
            <v>H1</v>
          </cell>
          <cell r="CU90" t="str">
            <v>NW</v>
          </cell>
        </row>
        <row r="91">
          <cell r="L91" t="str">
            <v>Confirmed</v>
          </cell>
          <cell r="S91" t="str">
            <v>m1030v</v>
          </cell>
          <cell r="AB91" t="str">
            <v>Senior</v>
          </cell>
          <cell r="AH91" t="str">
            <v>18-22</v>
          </cell>
          <cell r="AI91" t="str">
            <v>Somewhat Liberal</v>
          </cell>
          <cell r="CN91" t="str">
            <v>Z</v>
          </cell>
          <cell r="CP91" t="str">
            <v>F</v>
          </cell>
          <cell r="CQ91" t="str">
            <v>S</v>
          </cell>
          <cell r="CR91" t="str">
            <v>O1</v>
          </cell>
          <cell r="CS91" t="str">
            <v>H1</v>
          </cell>
          <cell r="CU91" t="str">
            <v>NW</v>
          </cell>
        </row>
        <row r="92">
          <cell r="L92" t="str">
            <v>Confirmed</v>
          </cell>
          <cell r="S92" t="str">
            <v>tu1230v</v>
          </cell>
          <cell r="AB92" t="str">
            <v>Junior</v>
          </cell>
          <cell r="AH92" t="str">
            <v>18-22</v>
          </cell>
          <cell r="AI92" t="str">
            <v>Somewhat Liberal</v>
          </cell>
          <cell r="CN92" t="str">
            <v>E</v>
          </cell>
          <cell r="CP92" t="str">
            <v>F</v>
          </cell>
          <cell r="CQ92" t="str">
            <v>S</v>
          </cell>
          <cell r="CR92" t="str">
            <v>O2</v>
          </cell>
          <cell r="CS92" t="str">
            <v>H2</v>
          </cell>
          <cell r="CU92" t="str">
            <v>W</v>
          </cell>
        </row>
        <row r="93">
          <cell r="L93" t="str">
            <v>Confirmed</v>
          </cell>
          <cell r="S93" t="str">
            <v>m230p</v>
          </cell>
          <cell r="AB93" t="str">
            <v>Senior</v>
          </cell>
          <cell r="AH93" t="str">
            <v>18-22</v>
          </cell>
          <cell r="AI93" t="str">
            <v>Moderate</v>
          </cell>
          <cell r="CN93" t="str">
            <v>P</v>
          </cell>
          <cell r="CP93" t="str">
            <v>F</v>
          </cell>
          <cell r="CQ93" t="str">
            <v>S</v>
          </cell>
          <cell r="CR93" t="str">
            <v>O2</v>
          </cell>
          <cell r="CS93" t="str">
            <v>H4</v>
          </cell>
          <cell r="CU93" t="str">
            <v>W</v>
          </cell>
        </row>
        <row r="94">
          <cell r="L94" t="str">
            <v>Confirmed</v>
          </cell>
          <cell r="S94" t="str">
            <v>su100p</v>
          </cell>
          <cell r="AB94" t="str">
            <v>First Year</v>
          </cell>
          <cell r="AH94" t="str">
            <v>18-22</v>
          </cell>
          <cell r="AI94" t="str">
            <v>Somewhat Liberal</v>
          </cell>
          <cell r="CN94" t="str">
            <v>E</v>
          </cell>
          <cell r="CP94" t="str">
            <v>M</v>
          </cell>
          <cell r="CQ94" t="str">
            <v>S</v>
          </cell>
          <cell r="CR94" t="str">
            <v>O5</v>
          </cell>
          <cell r="CS94" t="str">
            <v>H2</v>
          </cell>
          <cell r="CU94" t="str">
            <v>W</v>
          </cell>
        </row>
        <row r="95">
          <cell r="L95" t="str">
            <v>Confirmed</v>
          </cell>
          <cell r="S95" t="str">
            <v>m230p</v>
          </cell>
          <cell r="AB95" t="str">
            <v>Sophomore</v>
          </cell>
          <cell r="AH95" t="str">
            <v>18-22</v>
          </cell>
          <cell r="AI95" t="str">
            <v>Somewhat Liberal</v>
          </cell>
          <cell r="CN95" t="str">
            <v>E</v>
          </cell>
          <cell r="CP95" t="str">
            <v>F</v>
          </cell>
          <cell r="CQ95" t="str">
            <v>S</v>
          </cell>
          <cell r="CR95" t="str">
            <v>O1</v>
          </cell>
          <cell r="CS95" t="str">
            <v>H2</v>
          </cell>
          <cell r="CU95" t="str">
            <v>W</v>
          </cell>
        </row>
        <row r="96">
          <cell r="L96" t="str">
            <v>Confirmed</v>
          </cell>
          <cell r="S96" t="str">
            <v>sa1000v</v>
          </cell>
          <cell r="AB96" t="str">
            <v>Sophomore</v>
          </cell>
          <cell r="AH96" t="str">
            <v>18-22</v>
          </cell>
          <cell r="AI96" t="str">
            <v>Somewhat Conservative</v>
          </cell>
          <cell r="CN96" t="str">
            <v>E</v>
          </cell>
          <cell r="CP96" t="str">
            <v>F</v>
          </cell>
          <cell r="CQ96" t="str">
            <v>S</v>
          </cell>
          <cell r="CR96" t="str">
            <v>O3</v>
          </cell>
          <cell r="CS96" t="str">
            <v>H2</v>
          </cell>
          <cell r="CU96" t="str">
            <v>W</v>
          </cell>
        </row>
        <row r="97">
          <cell r="L97" t="str">
            <v>Withdrawn</v>
          </cell>
          <cell r="AH97" t="str">
            <v>65+</v>
          </cell>
          <cell r="AI97" t="str">
            <v>Moderate</v>
          </cell>
          <cell r="CN97" t="str">
            <v>E</v>
          </cell>
          <cell r="CP97" t="str">
            <v>M</v>
          </cell>
          <cell r="CQ97" t="str">
            <v>NS</v>
          </cell>
          <cell r="CR97" t="str">
            <v>O1</v>
          </cell>
          <cell r="CS97" t="str">
            <v>H5</v>
          </cell>
          <cell r="CU97" t="str">
            <v>W</v>
          </cell>
        </row>
        <row r="98">
          <cell r="L98" t="str">
            <v>Withdrawn</v>
          </cell>
          <cell r="AH98" t="str">
            <v>65+</v>
          </cell>
          <cell r="AI98" t="str">
            <v>Somewhat Liberal</v>
          </cell>
          <cell r="CN98" t="str">
            <v>E</v>
          </cell>
          <cell r="CP98" t="str">
            <v>F</v>
          </cell>
          <cell r="CQ98" t="str">
            <v>NS</v>
          </cell>
          <cell r="CR98" t="str">
            <v>O1</v>
          </cell>
          <cell r="CS98" t="str">
            <v>H5</v>
          </cell>
          <cell r="CU98" t="str">
            <v>W</v>
          </cell>
        </row>
        <row r="99">
          <cell r="L99" t="str">
            <v>Confirmed</v>
          </cell>
          <cell r="S99" t="str">
            <v>f1230v</v>
          </cell>
          <cell r="AH99" t="str">
            <v>65+</v>
          </cell>
          <cell r="AI99" t="str">
            <v>Somewhat Liberal</v>
          </cell>
          <cell r="CN99" t="str">
            <v>E</v>
          </cell>
          <cell r="CP99" t="str">
            <v>M</v>
          </cell>
          <cell r="CQ99" t="str">
            <v>NS</v>
          </cell>
          <cell r="CR99" t="str">
            <v>O4</v>
          </cell>
          <cell r="CS99" t="str">
            <v>H2</v>
          </cell>
          <cell r="CU99" t="str">
            <v>W</v>
          </cell>
        </row>
        <row r="100">
          <cell r="L100" t="str">
            <v>Confirmed</v>
          </cell>
          <cell r="S100" t="str">
            <v>Fellow</v>
          </cell>
          <cell r="AB100" t="str">
            <v>Sophomore</v>
          </cell>
          <cell r="AH100" t="str">
            <v>18-22</v>
          </cell>
          <cell r="AI100" t="str">
            <v>Somewhat Liberal</v>
          </cell>
          <cell r="CN100" t="str">
            <v>E</v>
          </cell>
          <cell r="CP100" t="str">
            <v>M</v>
          </cell>
          <cell r="CQ100" t="str">
            <v>S</v>
          </cell>
          <cell r="CR100" t="str">
            <v>O1</v>
          </cell>
          <cell r="CS100" t="str">
            <v>H1</v>
          </cell>
          <cell r="CU100" t="str">
            <v>W</v>
          </cell>
        </row>
        <row r="101">
          <cell r="L101" t="str">
            <v>Confirmed</v>
          </cell>
          <cell r="S101" t="str">
            <v>th200v</v>
          </cell>
          <cell r="AB101" t="str">
            <v>Junior</v>
          </cell>
          <cell r="AH101" t="str">
            <v>18-22</v>
          </cell>
          <cell r="AI101" t="str">
            <v>Somewhat Conservative</v>
          </cell>
          <cell r="CN101" t="str">
            <v>E</v>
          </cell>
          <cell r="CP101" t="str">
            <v>F</v>
          </cell>
          <cell r="CQ101" t="str">
            <v>S</v>
          </cell>
          <cell r="CR101" t="str">
            <v>O4</v>
          </cell>
          <cell r="CS101" t="str">
            <v>H3</v>
          </cell>
          <cell r="CU101" t="str">
            <v>W</v>
          </cell>
        </row>
        <row r="102">
          <cell r="L102" t="str">
            <v>Confirmed</v>
          </cell>
          <cell r="S102" t="str">
            <v>f1230v</v>
          </cell>
          <cell r="AH102" t="str">
            <v>40-50</v>
          </cell>
          <cell r="AI102" t="str">
            <v>Very Liberal</v>
          </cell>
          <cell r="CN102" t="str">
            <v>Z</v>
          </cell>
          <cell r="CP102" t="str">
            <v>F</v>
          </cell>
          <cell r="CQ102" t="str">
            <v>NS</v>
          </cell>
          <cell r="CR102" t="str">
            <v>O2</v>
          </cell>
          <cell r="CS102" t="str">
            <v>H2</v>
          </cell>
          <cell r="CU102" t="str">
            <v>W</v>
          </cell>
        </row>
        <row r="103">
          <cell r="L103" t="str">
            <v>Confirmed</v>
          </cell>
          <cell r="S103" t="str">
            <v>Fellow</v>
          </cell>
          <cell r="AB103" t="str">
            <v>Senior</v>
          </cell>
          <cell r="AH103" t="str">
            <v>18-22</v>
          </cell>
          <cell r="AI103" t="str">
            <v>Somewhat Liberal</v>
          </cell>
          <cell r="CN103" t="str">
            <v>E</v>
          </cell>
          <cell r="CP103" t="str">
            <v>M</v>
          </cell>
          <cell r="CQ103" t="str">
            <v>S</v>
          </cell>
          <cell r="CR103" t="str">
            <v>O4</v>
          </cell>
          <cell r="CS103" t="str">
            <v>H2</v>
          </cell>
          <cell r="CU103" t="str">
            <v>W</v>
          </cell>
        </row>
        <row r="104">
          <cell r="L104" t="str">
            <v>Confirmed</v>
          </cell>
          <cell r="S104" t="str">
            <v>m230p</v>
          </cell>
          <cell r="AB104" t="str">
            <v>First Year</v>
          </cell>
          <cell r="AH104" t="str">
            <v>18-22</v>
          </cell>
          <cell r="AI104" t="str">
            <v>Somewhat Liberal</v>
          </cell>
          <cell r="CN104" t="str">
            <v>E</v>
          </cell>
          <cell r="CP104" t="str">
            <v>M</v>
          </cell>
          <cell r="CQ104" t="str">
            <v>S</v>
          </cell>
          <cell r="CR104" t="str">
            <v>O2</v>
          </cell>
          <cell r="CS104" t="str">
            <v>H1</v>
          </cell>
          <cell r="CU104" t="str">
            <v>W</v>
          </cell>
        </row>
        <row r="105">
          <cell r="L105" t="str">
            <v>Confirmed</v>
          </cell>
          <cell r="S105" t="str">
            <v>w630v</v>
          </cell>
          <cell r="AB105" t="str">
            <v>Junior</v>
          </cell>
          <cell r="AH105" t="str">
            <v>18-22</v>
          </cell>
          <cell r="AI105" t="str">
            <v>Somewhat Liberal</v>
          </cell>
          <cell r="CN105" t="str">
            <v>Z</v>
          </cell>
          <cell r="CP105" t="str">
            <v>F</v>
          </cell>
          <cell r="CQ105" t="str">
            <v>S</v>
          </cell>
          <cell r="CR105" t="str">
            <v>O4</v>
          </cell>
          <cell r="CS105" t="str">
            <v>H1</v>
          </cell>
          <cell r="CU105" t="str">
            <v>W</v>
          </cell>
        </row>
        <row r="106">
          <cell r="L106" t="str">
            <v>Confirmed</v>
          </cell>
          <cell r="S106" t="str">
            <v>Fellow</v>
          </cell>
          <cell r="AB106" t="str">
            <v>First Year</v>
          </cell>
          <cell r="AH106" t="str">
            <v>18-22</v>
          </cell>
          <cell r="AI106" t="str">
            <v>Somewhat Liberal</v>
          </cell>
          <cell r="CN106" t="str">
            <v>E</v>
          </cell>
          <cell r="CP106" t="str">
            <v>F</v>
          </cell>
          <cell r="CQ106" t="str">
            <v>S</v>
          </cell>
          <cell r="CR106" t="str">
            <v>O2</v>
          </cell>
          <cell r="CS106" t="str">
            <v>H1</v>
          </cell>
          <cell r="CU106" t="str">
            <v>NW</v>
          </cell>
        </row>
        <row r="107">
          <cell r="L107" t="str">
            <v>Confirmed</v>
          </cell>
          <cell r="S107" t="str">
            <v>Fellow</v>
          </cell>
          <cell r="AB107" t="str">
            <v>Sophomore</v>
          </cell>
          <cell r="AH107" t="str">
            <v>18-22</v>
          </cell>
          <cell r="AI107" t="str">
            <v>Somewhat Liberal</v>
          </cell>
          <cell r="CN107" t="str">
            <v>E</v>
          </cell>
          <cell r="CP107" t="str">
            <v>F</v>
          </cell>
          <cell r="CQ107" t="str">
            <v>S</v>
          </cell>
          <cell r="CR107" t="str">
            <v>O2</v>
          </cell>
          <cell r="CS107" t="str">
            <v>H2</v>
          </cell>
          <cell r="CU107" t="str">
            <v>W</v>
          </cell>
        </row>
        <row r="108">
          <cell r="L108" t="str">
            <v>Confirmed</v>
          </cell>
          <cell r="S108" t="str">
            <v>f230p</v>
          </cell>
          <cell r="AB108" t="str">
            <v>Junior</v>
          </cell>
          <cell r="AH108" t="str">
            <v>18-22</v>
          </cell>
          <cell r="AI108" t="str">
            <v>Moderate</v>
          </cell>
          <cell r="CN108" t="str">
            <v>E</v>
          </cell>
          <cell r="CP108" t="str">
            <v>M</v>
          </cell>
          <cell r="CQ108" t="str">
            <v>S</v>
          </cell>
          <cell r="CR108" t="str">
            <v>O5</v>
          </cell>
          <cell r="CS108" t="str">
            <v>H4</v>
          </cell>
          <cell r="CU108" t="str">
            <v>W</v>
          </cell>
        </row>
        <row r="109">
          <cell r="L109" t="str">
            <v>Confirmed</v>
          </cell>
          <cell r="S109" t="str">
            <v>tu430p1</v>
          </cell>
          <cell r="AH109" t="str">
            <v>65+</v>
          </cell>
          <cell r="AI109" t="str">
            <v>Moderate</v>
          </cell>
          <cell r="CN109" t="str">
            <v>P</v>
          </cell>
          <cell r="CP109" t="str">
            <v>M</v>
          </cell>
          <cell r="CQ109" t="str">
            <v>NS</v>
          </cell>
          <cell r="CR109" t="str">
            <v>O3</v>
          </cell>
          <cell r="CS109" t="str">
            <v>H3</v>
          </cell>
          <cell r="CU109" t="str">
            <v>W</v>
          </cell>
        </row>
        <row r="110">
          <cell r="L110" t="str">
            <v>Confirmed</v>
          </cell>
          <cell r="S110" t="str">
            <v>su100p</v>
          </cell>
          <cell r="AB110" t="str">
            <v>Sophomore</v>
          </cell>
          <cell r="AH110" t="str">
            <v>18-22</v>
          </cell>
          <cell r="AI110" t="str">
            <v>Somewhat Liberal</v>
          </cell>
          <cell r="CN110" t="str">
            <v>E</v>
          </cell>
          <cell r="CP110" t="str">
            <v>F</v>
          </cell>
          <cell r="CQ110" t="str">
            <v>S</v>
          </cell>
          <cell r="CR110" t="str">
            <v>O2</v>
          </cell>
          <cell r="CS110" t="str">
            <v>H2</v>
          </cell>
          <cell r="CU110" t="str">
            <v>W</v>
          </cell>
        </row>
        <row r="111">
          <cell r="L111" t="str">
            <v>Confirmed</v>
          </cell>
          <cell r="S111" t="str">
            <v>tu430v</v>
          </cell>
          <cell r="AB111" t="str">
            <v>Sophomore</v>
          </cell>
          <cell r="AH111" t="str">
            <v>18-22</v>
          </cell>
          <cell r="AI111" t="str">
            <v>Somewhat Liberal</v>
          </cell>
          <cell r="CN111" t="str">
            <v>Z</v>
          </cell>
          <cell r="CP111" t="str">
            <v>M</v>
          </cell>
          <cell r="CQ111" t="str">
            <v>S</v>
          </cell>
          <cell r="CR111" t="str">
            <v>O2</v>
          </cell>
          <cell r="CS111" t="str">
            <v>H2</v>
          </cell>
          <cell r="CU111" t="str">
            <v>W</v>
          </cell>
        </row>
        <row r="112">
          <cell r="L112" t="str">
            <v>Confirmed</v>
          </cell>
          <cell r="S112" t="str">
            <v>w630v</v>
          </cell>
          <cell r="AH112" t="str">
            <v>51-64</v>
          </cell>
          <cell r="AI112" t="str">
            <v>Somewhat Conservative</v>
          </cell>
          <cell r="CN112" t="str">
            <v>Z</v>
          </cell>
          <cell r="CP112" t="str">
            <v>F</v>
          </cell>
          <cell r="CQ112" t="str">
            <v>NS</v>
          </cell>
          <cell r="CR112" t="str">
            <v>O3</v>
          </cell>
          <cell r="CS112" t="str">
            <v>H4</v>
          </cell>
          <cell r="CU112" t="str">
            <v>W</v>
          </cell>
        </row>
        <row r="113">
          <cell r="L113" t="str">
            <v>Confirmed</v>
          </cell>
          <cell r="S113" t="str">
            <v>m230v</v>
          </cell>
          <cell r="AB113" t="str">
            <v>Senior</v>
          </cell>
          <cell r="AH113" t="str">
            <v>18-22</v>
          </cell>
          <cell r="AI113" t="str">
            <v>Somewhat Liberal</v>
          </cell>
          <cell r="CN113" t="str">
            <v>Z</v>
          </cell>
          <cell r="CP113" t="str">
            <v>F</v>
          </cell>
          <cell r="CQ113" t="str">
            <v>S</v>
          </cell>
          <cell r="CR113" t="str">
            <v>O2</v>
          </cell>
          <cell r="CS113" t="str">
            <v>H2</v>
          </cell>
          <cell r="CU113" t="str">
            <v>W</v>
          </cell>
        </row>
        <row r="114">
          <cell r="L114" t="str">
            <v>Confirmed</v>
          </cell>
          <cell r="S114" t="str">
            <v>su100p</v>
          </cell>
          <cell r="AB114" t="str">
            <v>Sophomore</v>
          </cell>
          <cell r="AH114" t="str">
            <v>18-22</v>
          </cell>
          <cell r="AI114" t="str">
            <v>Somewhat Liberal</v>
          </cell>
          <cell r="CN114" t="str">
            <v>E</v>
          </cell>
          <cell r="CP114" t="str">
            <v>M</v>
          </cell>
          <cell r="CQ114" t="str">
            <v>S</v>
          </cell>
          <cell r="CR114" t="str">
            <v>O1</v>
          </cell>
          <cell r="CS114" t="str">
            <v>H2</v>
          </cell>
          <cell r="CU114" t="str">
            <v>W</v>
          </cell>
        </row>
        <row r="115">
          <cell r="L115" t="str">
            <v>Confirmed</v>
          </cell>
          <cell r="S115" t="str">
            <v>Fellow</v>
          </cell>
          <cell r="AB115" t="str">
            <v>First Year</v>
          </cell>
          <cell r="AH115" t="str">
            <v>18-22</v>
          </cell>
          <cell r="AI115" t="str">
            <v>Somewhat Liberal</v>
          </cell>
          <cell r="CN115" t="str">
            <v>E</v>
          </cell>
          <cell r="CP115" t="str">
            <v>M</v>
          </cell>
          <cell r="CQ115" t="str">
            <v>S</v>
          </cell>
          <cell r="CR115" t="str">
            <v>O2</v>
          </cell>
          <cell r="CS115" t="str">
            <v>H3</v>
          </cell>
          <cell r="CU115" t="str">
            <v>W</v>
          </cell>
        </row>
        <row r="116">
          <cell r="L116" t="str">
            <v>Confirmed</v>
          </cell>
          <cell r="S116" t="str">
            <v>f230p</v>
          </cell>
          <cell r="AB116" t="str">
            <v>Sophomore</v>
          </cell>
          <cell r="AH116" t="str">
            <v>18-22</v>
          </cell>
          <cell r="AI116" t="str">
            <v>Somewhat Liberal</v>
          </cell>
          <cell r="CN116" t="str">
            <v>P</v>
          </cell>
          <cell r="CP116" t="str">
            <v>F</v>
          </cell>
          <cell r="CQ116" t="str">
            <v>S</v>
          </cell>
          <cell r="CR116" t="str">
            <v>O2</v>
          </cell>
          <cell r="CS116" t="str">
            <v>H2</v>
          </cell>
          <cell r="CU116" t="str">
            <v>NW</v>
          </cell>
        </row>
        <row r="117">
          <cell r="L117" t="str">
            <v>Confirmed</v>
          </cell>
          <cell r="S117" t="str">
            <v>m230v</v>
          </cell>
          <cell r="AB117" t="str">
            <v>Junior</v>
          </cell>
          <cell r="AH117" t="str">
            <v>18-22</v>
          </cell>
          <cell r="AI117" t="str">
            <v>Very Liberal</v>
          </cell>
          <cell r="CN117" t="str">
            <v>Z</v>
          </cell>
          <cell r="CP117" t="str">
            <v>F</v>
          </cell>
          <cell r="CQ117" t="str">
            <v>S</v>
          </cell>
          <cell r="CR117" t="str">
            <v>O4</v>
          </cell>
          <cell r="CS117" t="str">
            <v>H1</v>
          </cell>
          <cell r="CU117" t="str">
            <v>W</v>
          </cell>
        </row>
        <row r="118">
          <cell r="L118" t="str">
            <v>Confirmed</v>
          </cell>
          <cell r="S118" t="str">
            <v>Sa100v</v>
          </cell>
          <cell r="AB118" t="str">
            <v>Junior</v>
          </cell>
          <cell r="AH118" t="str">
            <v>18-22</v>
          </cell>
          <cell r="AI118" t="str">
            <v>Somewhat Liberal</v>
          </cell>
          <cell r="CN118" t="str">
            <v>E</v>
          </cell>
          <cell r="CP118" t="str">
            <v>F</v>
          </cell>
          <cell r="CQ118" t="str">
            <v>S</v>
          </cell>
          <cell r="CR118" t="str">
            <v>O2</v>
          </cell>
          <cell r="CS118" t="str">
            <v>H2</v>
          </cell>
          <cell r="CU118" t="str">
            <v>W</v>
          </cell>
        </row>
        <row r="119">
          <cell r="L119" t="str">
            <v>Confirmed</v>
          </cell>
          <cell r="S119" t="str">
            <v>sa1000v</v>
          </cell>
          <cell r="AB119" t="str">
            <v>First Year</v>
          </cell>
          <cell r="AH119" t="str">
            <v>18-22</v>
          </cell>
          <cell r="AI119" t="str">
            <v>Somewhat Liberal</v>
          </cell>
          <cell r="CN119" t="str">
            <v>E</v>
          </cell>
          <cell r="CP119" t="str">
            <v>M</v>
          </cell>
          <cell r="CQ119" t="str">
            <v>S</v>
          </cell>
          <cell r="CR119" t="str">
            <v>O2</v>
          </cell>
          <cell r="CS119" t="str">
            <v>H3</v>
          </cell>
          <cell r="CU119" t="str">
            <v>NW</v>
          </cell>
        </row>
        <row r="120">
          <cell r="L120" t="str">
            <v>Confirmed</v>
          </cell>
          <cell r="S120" t="str">
            <v>Fellow</v>
          </cell>
          <cell r="AB120" t="str">
            <v>First Year</v>
          </cell>
          <cell r="AH120" t="str">
            <v>18-22</v>
          </cell>
          <cell r="AI120" t="str">
            <v>Very Liberal</v>
          </cell>
          <cell r="CN120" t="str">
            <v>E</v>
          </cell>
          <cell r="CP120" t="str">
            <v>F</v>
          </cell>
          <cell r="CQ120" t="str">
            <v>S</v>
          </cell>
          <cell r="CR120" t="str">
            <v>O2</v>
          </cell>
          <cell r="CS120" t="str">
            <v>H2</v>
          </cell>
          <cell r="CU120" t="str">
            <v>W</v>
          </cell>
        </row>
        <row r="121">
          <cell r="L121" t="str">
            <v>Confirmed</v>
          </cell>
          <cell r="S121" t="str">
            <v>tu430p1</v>
          </cell>
          <cell r="AB121" t="str">
            <v>First Year</v>
          </cell>
          <cell r="AH121" t="str">
            <v>18-22</v>
          </cell>
          <cell r="AI121" t="str">
            <v>Somewhat Liberal</v>
          </cell>
          <cell r="CN121" t="str">
            <v>P</v>
          </cell>
          <cell r="CP121" t="str">
            <v>M</v>
          </cell>
          <cell r="CQ121" t="str">
            <v>S</v>
          </cell>
          <cell r="CR121" t="str">
            <v>O1</v>
          </cell>
          <cell r="CS121" t="str">
            <v>H2</v>
          </cell>
          <cell r="CU121" t="str">
            <v>W</v>
          </cell>
        </row>
        <row r="122">
          <cell r="L122" t="str">
            <v>Confirmed</v>
          </cell>
          <cell r="S122" t="str">
            <v>tu430p1</v>
          </cell>
          <cell r="AH122" t="str">
            <v>51-64</v>
          </cell>
          <cell r="AI122" t="str">
            <v>Somewhat Liberal</v>
          </cell>
          <cell r="CN122" t="str">
            <v>E</v>
          </cell>
          <cell r="CP122" t="str">
            <v>F</v>
          </cell>
          <cell r="CQ122" t="str">
            <v>NS</v>
          </cell>
          <cell r="CR122" t="str">
            <v>O2</v>
          </cell>
          <cell r="CS122" t="str">
            <v>H2</v>
          </cell>
          <cell r="CU122" t="str">
            <v>W</v>
          </cell>
        </row>
        <row r="123">
          <cell r="L123" t="str">
            <v>Confirmed</v>
          </cell>
          <cell r="S123" t="str">
            <v>Th630v</v>
          </cell>
          <cell r="AB123" t="str">
            <v>Sophomore</v>
          </cell>
          <cell r="AH123" t="str">
            <v>18-22</v>
          </cell>
          <cell r="AI123" t="str">
            <v>Somewhat Liberal</v>
          </cell>
          <cell r="CN123" t="str">
            <v>E</v>
          </cell>
          <cell r="CP123" t="str">
            <v>F</v>
          </cell>
          <cell r="CQ123" t="str">
            <v>S</v>
          </cell>
          <cell r="CR123" t="str">
            <v>O2</v>
          </cell>
          <cell r="CS123" t="str">
            <v>H1</v>
          </cell>
          <cell r="CU123" t="str">
            <v>NW</v>
          </cell>
        </row>
        <row r="124">
          <cell r="L124" t="str">
            <v>Confirmed</v>
          </cell>
          <cell r="S124" t="str">
            <v>w630v</v>
          </cell>
          <cell r="AB124" t="str">
            <v>Junior</v>
          </cell>
          <cell r="AH124" t="str">
            <v>18-22</v>
          </cell>
          <cell r="AI124" t="str">
            <v>Somewhat Liberal</v>
          </cell>
          <cell r="CN124" t="str">
            <v>Z</v>
          </cell>
          <cell r="CP124" t="str">
            <v>M</v>
          </cell>
          <cell r="CQ124" t="str">
            <v>S</v>
          </cell>
          <cell r="CR124" t="str">
            <v>O2</v>
          </cell>
          <cell r="CS124" t="str">
            <v>H2</v>
          </cell>
          <cell r="CU124" t="str">
            <v>W</v>
          </cell>
        </row>
        <row r="125">
          <cell r="L125" t="str">
            <v>Confirmed</v>
          </cell>
          <cell r="S125" t="str">
            <v>tu430p2</v>
          </cell>
          <cell r="AB125" t="str">
            <v>Junior</v>
          </cell>
          <cell r="AH125" t="str">
            <v>18-22</v>
          </cell>
          <cell r="AI125" t="str">
            <v>Somewhat Conservative</v>
          </cell>
          <cell r="CN125" t="str">
            <v>P</v>
          </cell>
          <cell r="CP125" t="str">
            <v>M</v>
          </cell>
          <cell r="CQ125" t="str">
            <v>S</v>
          </cell>
          <cell r="CR125" t="str">
            <v>O4</v>
          </cell>
          <cell r="CS125" t="str">
            <v>H3</v>
          </cell>
          <cell r="CU125" t="str">
            <v>W</v>
          </cell>
        </row>
        <row r="126">
          <cell r="L126" t="str">
            <v>Confirmed</v>
          </cell>
          <cell r="S126" t="str">
            <v>sa100v</v>
          </cell>
          <cell r="AB126" t="str">
            <v>Sophomore</v>
          </cell>
          <cell r="AH126" t="str">
            <v>18-22</v>
          </cell>
          <cell r="AI126" t="str">
            <v>Very Conservative</v>
          </cell>
          <cell r="CN126" t="str">
            <v>Z</v>
          </cell>
          <cell r="CP126" t="str">
            <v>M</v>
          </cell>
          <cell r="CQ126" t="str">
            <v>S</v>
          </cell>
          <cell r="CR126" t="str">
            <v>O5</v>
          </cell>
          <cell r="CS126" t="str">
            <v>H4</v>
          </cell>
          <cell r="CU126" t="str">
            <v>W</v>
          </cell>
        </row>
        <row r="127">
          <cell r="L127" t="str">
            <v>Confirmed</v>
          </cell>
          <cell r="S127" t="str">
            <v>th630v</v>
          </cell>
          <cell r="AB127" t="str">
            <v>Sophomore</v>
          </cell>
          <cell r="AH127" t="str">
            <v>18-22</v>
          </cell>
          <cell r="AI127" t="str">
            <v>Very Liberal</v>
          </cell>
          <cell r="CN127" t="str">
            <v>Z</v>
          </cell>
          <cell r="CP127" t="str">
            <v>F</v>
          </cell>
          <cell r="CQ127" t="str">
            <v>S</v>
          </cell>
          <cell r="CR127" t="str">
            <v>O2</v>
          </cell>
          <cell r="CS127" t="str">
            <v>H1</v>
          </cell>
          <cell r="CU127" t="str">
            <v>W</v>
          </cell>
        </row>
        <row r="128">
          <cell r="L128" t="str">
            <v>Confirmed</v>
          </cell>
          <cell r="S128" t="str">
            <v>tu1230v</v>
          </cell>
          <cell r="AB128" t="str">
            <v>Sophomore</v>
          </cell>
          <cell r="AH128" t="str">
            <v>18-22</v>
          </cell>
          <cell r="AI128" t="str">
            <v>Somewhat Liberal</v>
          </cell>
          <cell r="CN128" t="str">
            <v>E</v>
          </cell>
          <cell r="CP128" t="str">
            <v>F</v>
          </cell>
          <cell r="CQ128" t="str">
            <v>S</v>
          </cell>
          <cell r="CR128" t="str">
            <v>O2</v>
          </cell>
          <cell r="CS128" t="str">
            <v>H2</v>
          </cell>
          <cell r="CU128" t="str">
            <v>NW</v>
          </cell>
        </row>
        <row r="129">
          <cell r="L129" t="str">
            <v>Confirmed</v>
          </cell>
          <cell r="S129" t="str">
            <v>tu630p</v>
          </cell>
          <cell r="AB129" t="str">
            <v>First Year</v>
          </cell>
          <cell r="AH129" t="str">
            <v>18-22</v>
          </cell>
          <cell r="AI129" t="str">
            <v>Very Liberal</v>
          </cell>
          <cell r="CN129" t="str">
            <v>P</v>
          </cell>
          <cell r="CP129" t="str">
            <v>F</v>
          </cell>
          <cell r="CQ129" t="str">
            <v>S</v>
          </cell>
          <cell r="CR129" t="str">
            <v>O4</v>
          </cell>
          <cell r="CS129" t="str">
            <v>H3</v>
          </cell>
          <cell r="CU129" t="str">
            <v>W</v>
          </cell>
        </row>
        <row r="130">
          <cell r="L130" t="str">
            <v>Confirmed</v>
          </cell>
          <cell r="S130" t="str">
            <v>th630v</v>
          </cell>
          <cell r="AB130" t="str">
            <v>First Year</v>
          </cell>
          <cell r="AH130" t="str">
            <v>18-22</v>
          </cell>
          <cell r="AI130" t="str">
            <v>Very Liberal</v>
          </cell>
          <cell r="CN130" t="str">
            <v>E</v>
          </cell>
          <cell r="CP130" t="str">
            <v>M</v>
          </cell>
          <cell r="CQ130" t="str">
            <v>S</v>
          </cell>
          <cell r="CR130" t="str">
            <v>O1</v>
          </cell>
          <cell r="CS130" t="str">
            <v>H1</v>
          </cell>
          <cell r="CU130" t="str">
            <v>W</v>
          </cell>
        </row>
        <row r="131">
          <cell r="L131" t="str">
            <v>Confirmed</v>
          </cell>
          <cell r="S131" t="str">
            <v>tu430v</v>
          </cell>
          <cell r="AB131" t="str">
            <v>Sophomore</v>
          </cell>
          <cell r="AH131" t="str">
            <v>18-22</v>
          </cell>
          <cell r="AI131" t="str">
            <v>Somewhat Liberal</v>
          </cell>
          <cell r="CN131" t="str">
            <v>E</v>
          </cell>
          <cell r="CP131" t="str">
            <v>M</v>
          </cell>
          <cell r="CQ131" t="str">
            <v>S</v>
          </cell>
          <cell r="CR131" t="str">
            <v>O2</v>
          </cell>
          <cell r="CS131" t="str">
            <v>H3</v>
          </cell>
          <cell r="CU131" t="str">
            <v>W</v>
          </cell>
        </row>
        <row r="132">
          <cell r="L132" t="str">
            <v>Confirmed</v>
          </cell>
          <cell r="S132" t="str">
            <v>m230p</v>
          </cell>
          <cell r="AH132" t="str">
            <v>65+</v>
          </cell>
          <cell r="AI132" t="str">
            <v>Very Liberal</v>
          </cell>
          <cell r="CN132" t="str">
            <v>P</v>
          </cell>
          <cell r="CP132" t="str">
            <v>F</v>
          </cell>
          <cell r="CQ132" t="str">
            <v>NS</v>
          </cell>
          <cell r="CR132" t="str">
            <v>O1</v>
          </cell>
          <cell r="CS132" t="str">
            <v>H3</v>
          </cell>
          <cell r="CU132" t="str">
            <v>W</v>
          </cell>
        </row>
        <row r="133">
          <cell r="L133" t="str">
            <v>Confirmed</v>
          </cell>
          <cell r="S133" t="str">
            <v>th630v</v>
          </cell>
          <cell r="AB133" t="str">
            <v>Junior</v>
          </cell>
          <cell r="AH133" t="str">
            <v>18-22</v>
          </cell>
          <cell r="AI133" t="str">
            <v>Somewhat Liberal</v>
          </cell>
          <cell r="CN133" t="str">
            <v>E</v>
          </cell>
          <cell r="CP133" t="str">
            <v>F</v>
          </cell>
          <cell r="CQ133" t="str">
            <v>S</v>
          </cell>
          <cell r="CR133" t="str">
            <v>O3</v>
          </cell>
          <cell r="CS133" t="str">
            <v>H2</v>
          </cell>
          <cell r="CU133" t="str">
            <v>W</v>
          </cell>
        </row>
        <row r="134">
          <cell r="L134" t="str">
            <v>Confirmed</v>
          </cell>
          <cell r="S134" t="str">
            <v>tu630p</v>
          </cell>
          <cell r="AB134" t="str">
            <v>Junior</v>
          </cell>
          <cell r="AH134" t="str">
            <v>18-22</v>
          </cell>
          <cell r="AI134" t="str">
            <v>Somewhat Conservative</v>
          </cell>
          <cell r="CN134" t="str">
            <v>Z</v>
          </cell>
          <cell r="CP134" t="str">
            <v>F</v>
          </cell>
          <cell r="CQ134" t="str">
            <v>S</v>
          </cell>
          <cell r="CR134" t="str">
            <v>O5</v>
          </cell>
          <cell r="CS134" t="str">
            <v>H4</v>
          </cell>
          <cell r="CU134" t="str">
            <v>W</v>
          </cell>
        </row>
        <row r="135">
          <cell r="L135" t="str">
            <v>Confirmed</v>
          </cell>
          <cell r="S135" t="str">
            <v>f230p</v>
          </cell>
          <cell r="AB135" t="str">
            <v>First Year</v>
          </cell>
          <cell r="AH135" t="str">
            <v>18-22</v>
          </cell>
          <cell r="AI135" t="str">
            <v>Moderate</v>
          </cell>
          <cell r="CN135" t="str">
            <v>E</v>
          </cell>
          <cell r="CP135" t="str">
            <v>F</v>
          </cell>
          <cell r="CQ135" t="str">
            <v>S</v>
          </cell>
          <cell r="CR135" t="str">
            <v>O2</v>
          </cell>
          <cell r="CS135" t="str">
            <v>H2</v>
          </cell>
          <cell r="CU135" t="str">
            <v>W</v>
          </cell>
        </row>
        <row r="136">
          <cell r="L136" t="str">
            <v>Confirmed</v>
          </cell>
          <cell r="S136" t="str">
            <v>sa1000v</v>
          </cell>
          <cell r="AH136" t="str">
            <v>40-50</v>
          </cell>
          <cell r="AI136" t="str">
            <v>Somewhat Liberal</v>
          </cell>
          <cell r="CN136" t="str">
            <v>Z</v>
          </cell>
          <cell r="CP136" t="str">
            <v>M</v>
          </cell>
          <cell r="CQ136" t="str">
            <v>NS</v>
          </cell>
          <cell r="CR136" t="str">
            <v>O3</v>
          </cell>
          <cell r="CS136" t="str">
            <v>H2</v>
          </cell>
          <cell r="CU136" t="str">
            <v>W</v>
          </cell>
        </row>
        <row r="137">
          <cell r="L137" t="str">
            <v>Confirmed</v>
          </cell>
          <cell r="S137" t="str">
            <v>sa1000v</v>
          </cell>
          <cell r="AB137" t="str">
            <v>Sophomore</v>
          </cell>
          <cell r="AH137" t="str">
            <v>18-22</v>
          </cell>
          <cell r="AI137" t="str">
            <v>Very Liberal</v>
          </cell>
          <cell r="CN137" t="str">
            <v>E</v>
          </cell>
          <cell r="CP137" t="str">
            <v>F</v>
          </cell>
          <cell r="CQ137" t="str">
            <v>S</v>
          </cell>
          <cell r="CR137" t="str">
            <v>O2</v>
          </cell>
          <cell r="CS137" t="str">
            <v>H2</v>
          </cell>
          <cell r="CU137" t="str">
            <v>NW</v>
          </cell>
        </row>
        <row r="138">
          <cell r="L138" t="str">
            <v>Confirmed</v>
          </cell>
          <cell r="S138" t="str">
            <v>m230v</v>
          </cell>
          <cell r="AH138" t="str">
            <v>65+</v>
          </cell>
          <cell r="AI138" t="str">
            <v>Somewhat Liberal</v>
          </cell>
          <cell r="CN138" t="str">
            <v>Z</v>
          </cell>
          <cell r="CP138" t="str">
            <v>F</v>
          </cell>
          <cell r="CQ138" t="str">
            <v>NS</v>
          </cell>
          <cell r="CR138" t="str">
            <v>O2</v>
          </cell>
          <cell r="CS138" t="str">
            <v>H3</v>
          </cell>
          <cell r="CU138" t="str">
            <v>NW</v>
          </cell>
        </row>
        <row r="139">
          <cell r="L139" t="str">
            <v>Confirmed</v>
          </cell>
          <cell r="S139" t="str">
            <v>tu1230p</v>
          </cell>
          <cell r="AH139" t="str">
            <v>65+</v>
          </cell>
          <cell r="AI139" t="str">
            <v>Very Liberal</v>
          </cell>
          <cell r="CN139" t="str">
            <v>E</v>
          </cell>
          <cell r="CP139" t="str">
            <v>F</v>
          </cell>
          <cell r="CQ139" t="str">
            <v>NS</v>
          </cell>
          <cell r="CR139" t="str">
            <v>O1</v>
          </cell>
          <cell r="CS139" t="str">
            <v>H1</v>
          </cell>
          <cell r="CU139" t="str">
            <v>W</v>
          </cell>
        </row>
        <row r="140">
          <cell r="L140" t="str">
            <v>Confirmed</v>
          </cell>
          <cell r="S140" t="str">
            <v>th630p</v>
          </cell>
          <cell r="AB140" t="str">
            <v>First Year</v>
          </cell>
          <cell r="AH140" t="str">
            <v>18-22</v>
          </cell>
          <cell r="AI140" t="str">
            <v>Somewhat Liberal</v>
          </cell>
          <cell r="CN140" t="str">
            <v>E</v>
          </cell>
          <cell r="CP140" t="str">
            <v>M</v>
          </cell>
          <cell r="CQ140" t="str">
            <v>S</v>
          </cell>
          <cell r="CR140" t="str">
            <v>O1</v>
          </cell>
          <cell r="CS140" t="str">
            <v>H4</v>
          </cell>
          <cell r="CU140" t="str">
            <v>W</v>
          </cell>
        </row>
        <row r="141">
          <cell r="L141" t="str">
            <v>Confirmed</v>
          </cell>
          <cell r="S141" t="str">
            <v>tu1230p</v>
          </cell>
          <cell r="AB141" t="str">
            <v>First Year</v>
          </cell>
          <cell r="AH141" t="str">
            <v>18-22</v>
          </cell>
          <cell r="AI141" t="str">
            <v>Somewhat Liberal</v>
          </cell>
          <cell r="CN141" t="str">
            <v>E</v>
          </cell>
          <cell r="CP141" t="str">
            <v>M</v>
          </cell>
          <cell r="CQ141" t="str">
            <v>S</v>
          </cell>
          <cell r="CR141" t="str">
            <v>O1</v>
          </cell>
          <cell r="CS141" t="str">
            <v>H2</v>
          </cell>
          <cell r="CU141" t="str">
            <v>W</v>
          </cell>
        </row>
        <row r="142">
          <cell r="L142" t="str">
            <v>Confirmed</v>
          </cell>
          <cell r="S142" t="str">
            <v>Sa100v</v>
          </cell>
          <cell r="AB142" t="str">
            <v>First Year</v>
          </cell>
          <cell r="AH142" t="str">
            <v>18-22</v>
          </cell>
          <cell r="AI142" t="str">
            <v>Very Liberal</v>
          </cell>
          <cell r="CN142" t="str">
            <v>E</v>
          </cell>
          <cell r="CP142" t="str">
            <v>F</v>
          </cell>
          <cell r="CQ142" t="str">
            <v>S</v>
          </cell>
          <cell r="CR142" t="str">
            <v>O2</v>
          </cell>
          <cell r="CS142" t="str">
            <v>H1</v>
          </cell>
          <cell r="CU142" t="str">
            <v>NW</v>
          </cell>
        </row>
        <row r="143">
          <cell r="L143" t="str">
            <v>Confirmed</v>
          </cell>
          <cell r="S143" t="str">
            <v>m230v</v>
          </cell>
          <cell r="AB143" t="str">
            <v>Senior</v>
          </cell>
          <cell r="AH143" t="str">
            <v>18-22</v>
          </cell>
          <cell r="AI143" t="str">
            <v>Very Liberal</v>
          </cell>
          <cell r="CN143" t="str">
            <v>Z</v>
          </cell>
          <cell r="CP143" t="str">
            <v>F</v>
          </cell>
          <cell r="CQ143" t="str">
            <v>S</v>
          </cell>
          <cell r="CR143" t="str">
            <v>O1</v>
          </cell>
          <cell r="CS143" t="str">
            <v>H2</v>
          </cell>
          <cell r="CU143" t="str">
            <v>W</v>
          </cell>
        </row>
        <row r="144">
          <cell r="L144" t="str">
            <v>Confirmed</v>
          </cell>
          <cell r="S144" t="str">
            <v>tu630p</v>
          </cell>
          <cell r="AB144" t="str">
            <v>Senior</v>
          </cell>
          <cell r="AH144" t="str">
            <v>18-22</v>
          </cell>
          <cell r="AI144" t="str">
            <v>Somewhat Conservative</v>
          </cell>
          <cell r="CN144" t="str">
            <v>P</v>
          </cell>
          <cell r="CP144" t="str">
            <v>M</v>
          </cell>
          <cell r="CQ144" t="str">
            <v>S</v>
          </cell>
          <cell r="CR144" t="str">
            <v>O2</v>
          </cell>
          <cell r="CS144" t="str">
            <v>H2</v>
          </cell>
          <cell r="CU144" t="str">
            <v>W</v>
          </cell>
        </row>
        <row r="145">
          <cell r="L145" t="str">
            <v>Confirmed</v>
          </cell>
          <cell r="S145" t="str">
            <v>Tu430p2</v>
          </cell>
          <cell r="AB145" t="str">
            <v>Senior</v>
          </cell>
          <cell r="AH145" t="str">
            <v>18-22</v>
          </cell>
          <cell r="AI145" t="str">
            <v>Somewhat Liberal</v>
          </cell>
          <cell r="CN145" t="str">
            <v>E</v>
          </cell>
          <cell r="CP145" t="str">
            <v>F</v>
          </cell>
          <cell r="CQ145" t="str">
            <v>S</v>
          </cell>
          <cell r="CR145" t="str">
            <v>O2</v>
          </cell>
          <cell r="CS145" t="str">
            <v>H4</v>
          </cell>
          <cell r="CU145" t="str">
            <v>W</v>
          </cell>
        </row>
        <row r="146">
          <cell r="L146" t="str">
            <v>Confirmed</v>
          </cell>
          <cell r="S146" t="str">
            <v>tu430p2</v>
          </cell>
          <cell r="AB146" t="str">
            <v>First Year</v>
          </cell>
          <cell r="AH146" t="str">
            <v>18-22</v>
          </cell>
          <cell r="AI146" t="str">
            <v>Somewhat Conservative</v>
          </cell>
          <cell r="CN146" t="str">
            <v>P</v>
          </cell>
          <cell r="CP146" t="str">
            <v>F</v>
          </cell>
          <cell r="CQ146" t="str">
            <v>S</v>
          </cell>
          <cell r="CR146" t="str">
            <v>O2</v>
          </cell>
          <cell r="CS146" t="str">
            <v>H3</v>
          </cell>
          <cell r="CU146" t="str">
            <v>NW</v>
          </cell>
        </row>
        <row r="147">
          <cell r="L147" t="str">
            <v>Confirmed</v>
          </cell>
          <cell r="S147" t="str">
            <v>f1230v</v>
          </cell>
          <cell r="AB147" t="str">
            <v>Sophomore</v>
          </cell>
          <cell r="AH147" t="str">
            <v>18-22</v>
          </cell>
          <cell r="AI147" t="str">
            <v>Moderate</v>
          </cell>
          <cell r="CN147" t="str">
            <v>Z</v>
          </cell>
          <cell r="CP147" t="str">
            <v>M</v>
          </cell>
          <cell r="CQ147" t="str">
            <v>S</v>
          </cell>
          <cell r="CR147" t="str">
            <v>O4</v>
          </cell>
          <cell r="CS147" t="str">
            <v>H3</v>
          </cell>
          <cell r="CU147" t="str">
            <v>W</v>
          </cell>
        </row>
        <row r="148">
          <cell r="L148" t="str">
            <v>Confirmed</v>
          </cell>
          <cell r="S148" t="str">
            <v>su100p</v>
          </cell>
          <cell r="AB148" t="str">
            <v>First Year</v>
          </cell>
          <cell r="AH148" t="str">
            <v>18-22</v>
          </cell>
          <cell r="AI148" t="str">
            <v>Somewhat Liberal</v>
          </cell>
          <cell r="CN148" t="str">
            <v>E</v>
          </cell>
          <cell r="CP148" t="str">
            <v>F</v>
          </cell>
          <cell r="CQ148" t="str">
            <v>S</v>
          </cell>
          <cell r="CR148" t="str">
            <v>O4</v>
          </cell>
          <cell r="CS148" t="str">
            <v>H4</v>
          </cell>
          <cell r="CU148" t="str">
            <v>NW</v>
          </cell>
        </row>
        <row r="149">
          <cell r="L149" t="str">
            <v>Confirmed</v>
          </cell>
          <cell r="S149" t="str">
            <v>th630p</v>
          </cell>
          <cell r="AB149" t="str">
            <v>First Year</v>
          </cell>
          <cell r="AH149" t="str">
            <v>18-22</v>
          </cell>
          <cell r="AI149" t="str">
            <v>Moderate</v>
          </cell>
          <cell r="CN149" t="str">
            <v>E</v>
          </cell>
          <cell r="CP149" t="str">
            <v>F</v>
          </cell>
          <cell r="CQ149" t="str">
            <v>S</v>
          </cell>
          <cell r="CR149" t="str">
            <v>O2</v>
          </cell>
          <cell r="CS149" t="str">
            <v>H4</v>
          </cell>
          <cell r="CU149" t="str">
            <v>W</v>
          </cell>
        </row>
        <row r="150">
          <cell r="L150" t="str">
            <v>Confirmed</v>
          </cell>
          <cell r="S150" t="str">
            <v>f1230v</v>
          </cell>
          <cell r="AB150" t="str">
            <v>First Year</v>
          </cell>
          <cell r="AH150" t="str">
            <v>18-22</v>
          </cell>
          <cell r="AI150" t="str">
            <v>Moderate</v>
          </cell>
          <cell r="CN150" t="str">
            <v>Z</v>
          </cell>
          <cell r="CP150" t="str">
            <v>F</v>
          </cell>
          <cell r="CQ150" t="str">
            <v>S</v>
          </cell>
          <cell r="CR150" t="str">
            <v>O3</v>
          </cell>
          <cell r="CS150" t="str">
            <v>H3</v>
          </cell>
          <cell r="CU150" t="str">
            <v>W</v>
          </cell>
        </row>
        <row r="151">
          <cell r="L151" t="str">
            <v>Confirmed</v>
          </cell>
          <cell r="S151" t="str">
            <v>f230p</v>
          </cell>
          <cell r="AB151" t="str">
            <v>First Year</v>
          </cell>
          <cell r="AH151" t="str">
            <v>18-22</v>
          </cell>
          <cell r="AI151" t="str">
            <v>Moderate</v>
          </cell>
          <cell r="CN151" t="str">
            <v>E</v>
          </cell>
          <cell r="CP151" t="str">
            <v>M</v>
          </cell>
          <cell r="CQ151" t="str">
            <v>S</v>
          </cell>
          <cell r="CR151" t="str">
            <v>O5</v>
          </cell>
          <cell r="CS151" t="str">
            <v>H4</v>
          </cell>
          <cell r="CU151" t="str">
            <v>W</v>
          </cell>
        </row>
        <row r="152">
          <cell r="L152" t="str">
            <v>Confirmed</v>
          </cell>
          <cell r="S152" t="str">
            <v>w630v</v>
          </cell>
          <cell r="AH152" t="str">
            <v>30-39</v>
          </cell>
          <cell r="AI152" t="str">
            <v>Somewhat Liberal</v>
          </cell>
          <cell r="CN152" t="str">
            <v>Z</v>
          </cell>
          <cell r="CP152" t="str">
            <v>F</v>
          </cell>
          <cell r="CQ152" t="str">
            <v>NS</v>
          </cell>
          <cell r="CR152" t="str">
            <v>O2</v>
          </cell>
          <cell r="CS152" t="str">
            <v>H4</v>
          </cell>
          <cell r="CU152" t="str">
            <v>W</v>
          </cell>
        </row>
        <row r="153">
          <cell r="L153" t="str">
            <v>Confirmed</v>
          </cell>
          <cell r="S153" t="str">
            <v>th630v</v>
          </cell>
          <cell r="AB153" t="str">
            <v>Senior</v>
          </cell>
          <cell r="AH153" t="str">
            <v>18-22</v>
          </cell>
          <cell r="AI153" t="str">
            <v>Moderate</v>
          </cell>
          <cell r="CN153" t="str">
            <v>Z</v>
          </cell>
          <cell r="CP153" t="str">
            <v>F</v>
          </cell>
          <cell r="CQ153" t="str">
            <v>NS</v>
          </cell>
          <cell r="CR153" t="str">
            <v>O1</v>
          </cell>
          <cell r="CS153" t="str">
            <v>H2</v>
          </cell>
          <cell r="CU153" t="str">
            <v>W</v>
          </cell>
        </row>
        <row r="154">
          <cell r="L154" t="str">
            <v>Confirmed</v>
          </cell>
          <cell r="S154" t="str">
            <v>sa100v</v>
          </cell>
          <cell r="AB154" t="str">
            <v>Senior</v>
          </cell>
          <cell r="AH154" t="str">
            <v>18-22</v>
          </cell>
          <cell r="AI154" t="str">
            <v>Other/Prefer Not to Respond</v>
          </cell>
          <cell r="CN154" t="str">
            <v>Z</v>
          </cell>
          <cell r="CP154" t="str">
            <v>M</v>
          </cell>
          <cell r="CQ154" t="str">
            <v>S</v>
          </cell>
          <cell r="CR154" t="str">
            <v>O1</v>
          </cell>
          <cell r="CS154" t="str">
            <v>H1</v>
          </cell>
          <cell r="CU154" t="str">
            <v>W</v>
          </cell>
        </row>
        <row r="155">
          <cell r="L155" t="str">
            <v>Confirmed</v>
          </cell>
          <cell r="S155" t="str">
            <v>f1230v</v>
          </cell>
          <cell r="AH155" t="str">
            <v>65+</v>
          </cell>
          <cell r="AI155" t="str">
            <v>Somewhat Liberal</v>
          </cell>
          <cell r="CN155" t="str">
            <v>Z</v>
          </cell>
          <cell r="CP155" t="str">
            <v>M</v>
          </cell>
          <cell r="CQ155" t="str">
            <v>NS</v>
          </cell>
          <cell r="CR155" t="str">
            <v>O3</v>
          </cell>
          <cell r="CS155" t="str">
            <v>H3</v>
          </cell>
          <cell r="CU155" t="str">
            <v>W</v>
          </cell>
        </row>
        <row r="156">
          <cell r="L156" t="str">
            <v>Confirmed</v>
          </cell>
          <cell r="S156" t="str">
            <v>sa100v</v>
          </cell>
          <cell r="AH156" t="str">
            <v>65+</v>
          </cell>
          <cell r="AI156" t="str">
            <v>Very Liberal</v>
          </cell>
          <cell r="CN156" t="str">
            <v>Z</v>
          </cell>
          <cell r="CP156" t="str">
            <v>M</v>
          </cell>
          <cell r="CQ156" t="str">
            <v>NS</v>
          </cell>
          <cell r="CR156" t="str">
            <v>O1</v>
          </cell>
          <cell r="CS156" t="str">
            <v>H1</v>
          </cell>
          <cell r="CU156" t="str">
            <v>W</v>
          </cell>
        </row>
        <row r="157">
          <cell r="L157" t="str">
            <v>Confirmed</v>
          </cell>
          <cell r="S157" t="str">
            <v>w630v</v>
          </cell>
          <cell r="AB157" t="str">
            <v>Senior</v>
          </cell>
          <cell r="AH157" t="str">
            <v>18-22</v>
          </cell>
          <cell r="AI157" t="str">
            <v>Somewhat Liberal</v>
          </cell>
          <cell r="CN157" t="str">
            <v>E</v>
          </cell>
          <cell r="CP157" t="str">
            <v>F</v>
          </cell>
          <cell r="CQ157" t="str">
            <v>S</v>
          </cell>
          <cell r="CR157" t="str">
            <v>O4</v>
          </cell>
          <cell r="CS157" t="str">
            <v>H2</v>
          </cell>
          <cell r="CU157" t="str">
            <v>W</v>
          </cell>
        </row>
        <row r="158">
          <cell r="L158" t="str">
            <v>Confirmed</v>
          </cell>
          <cell r="S158" t="str">
            <v>th630p</v>
          </cell>
          <cell r="AH158" t="str">
            <v>30-39</v>
          </cell>
          <cell r="AI158" t="str">
            <v>Moderate</v>
          </cell>
          <cell r="CN158" t="str">
            <v>E</v>
          </cell>
          <cell r="CP158" t="str">
            <v>M</v>
          </cell>
          <cell r="CQ158" t="str">
            <v>NS</v>
          </cell>
          <cell r="CR158" t="str">
            <v>O3</v>
          </cell>
          <cell r="CS158" t="str">
            <v>H1</v>
          </cell>
          <cell r="CU158" t="str">
            <v>NW</v>
          </cell>
        </row>
        <row r="159">
          <cell r="L159" t="str">
            <v>Withdrawn</v>
          </cell>
          <cell r="AH159" t="str">
            <v>51-64</v>
          </cell>
          <cell r="AI159" t="str">
            <v>Somewhat Liberal</v>
          </cell>
          <cell r="CN159" t="str">
            <v>P</v>
          </cell>
          <cell r="CP159" t="str">
            <v>F</v>
          </cell>
          <cell r="CQ159" t="str">
            <v>NS</v>
          </cell>
          <cell r="CR159" t="str">
            <v>O2</v>
          </cell>
          <cell r="CS159" t="str">
            <v>H1</v>
          </cell>
          <cell r="CU159" t="str">
            <v>W</v>
          </cell>
        </row>
        <row r="160">
          <cell r="L160" t="str">
            <v>Confirmed</v>
          </cell>
          <cell r="S160" t="str">
            <v>tu430p1</v>
          </cell>
          <cell r="AB160" t="str">
            <v>Sophomore</v>
          </cell>
          <cell r="AH160" t="str">
            <v>18-22</v>
          </cell>
          <cell r="AI160" t="str">
            <v>Other/Prefer Not to Respond</v>
          </cell>
          <cell r="CN160" t="str">
            <v>E</v>
          </cell>
          <cell r="CP160" t="str">
            <v>F</v>
          </cell>
          <cell r="CQ160" t="str">
            <v>S</v>
          </cell>
          <cell r="CR160" t="str">
            <v>O4</v>
          </cell>
          <cell r="CS160" t="str">
            <v>H3</v>
          </cell>
          <cell r="CU160" t="str">
            <v>W</v>
          </cell>
        </row>
        <row r="161">
          <cell r="L161" t="str">
            <v>Confirmed</v>
          </cell>
          <cell r="S161" t="str">
            <v>w630v</v>
          </cell>
          <cell r="AB161" t="str">
            <v>Sophomore</v>
          </cell>
          <cell r="AH161" t="str">
            <v>18-22</v>
          </cell>
          <cell r="AI161" t="str">
            <v>Somewhat Liberal</v>
          </cell>
          <cell r="CN161" t="str">
            <v>E</v>
          </cell>
          <cell r="CP161" t="str">
            <v>M</v>
          </cell>
          <cell r="CQ161" t="str">
            <v>S</v>
          </cell>
          <cell r="CR161" t="str">
            <v>O2</v>
          </cell>
          <cell r="CS161" t="str">
            <v>H1</v>
          </cell>
          <cell r="CU161" t="str">
            <v>NW</v>
          </cell>
        </row>
        <row r="162">
          <cell r="L162" t="str">
            <v>Registered</v>
          </cell>
          <cell r="S162" t="str">
            <v>th200v</v>
          </cell>
          <cell r="AH162" t="str">
            <v>65+</v>
          </cell>
          <cell r="AI162" t="str">
            <v>Very Liberal</v>
          </cell>
          <cell r="CN162" t="str">
            <v>E</v>
          </cell>
          <cell r="CP162" t="str">
            <v>F</v>
          </cell>
          <cell r="CQ162" t="str">
            <v>NS</v>
          </cell>
          <cell r="CR162" t="str">
            <v>O1</v>
          </cell>
          <cell r="CS162" t="str">
            <v>H1</v>
          </cell>
          <cell r="CU162" t="str">
            <v>W</v>
          </cell>
        </row>
        <row r="163">
          <cell r="L163" t="str">
            <v>Confirmed</v>
          </cell>
          <cell r="S163" t="str">
            <v>tu1230p</v>
          </cell>
          <cell r="AH163" t="str">
            <v>65+</v>
          </cell>
          <cell r="AI163" t="str">
            <v>Somewhat Conservative</v>
          </cell>
          <cell r="CN163" t="str">
            <v>E</v>
          </cell>
          <cell r="CP163" t="str">
            <v>M</v>
          </cell>
          <cell r="CQ163" t="str">
            <v>NS</v>
          </cell>
          <cell r="CR163" t="str">
            <v>O5</v>
          </cell>
          <cell r="CS163" t="str">
            <v>H1</v>
          </cell>
          <cell r="CU163" t="str">
            <v>W</v>
          </cell>
        </row>
        <row r="164">
          <cell r="L164" t="str">
            <v>Confirmed</v>
          </cell>
          <cell r="S164" t="str">
            <v>tu630p</v>
          </cell>
          <cell r="AH164" t="str">
            <v>65+</v>
          </cell>
          <cell r="AI164" t="str">
            <v>Somewhat Liberal</v>
          </cell>
          <cell r="CN164" t="str">
            <v>E</v>
          </cell>
          <cell r="CP164" t="str">
            <v>F</v>
          </cell>
          <cell r="CQ164" t="str">
            <v>NS</v>
          </cell>
          <cell r="CR164" t="str">
            <v>O2</v>
          </cell>
          <cell r="CS164" t="str">
            <v>H3</v>
          </cell>
          <cell r="CU164" t="str">
            <v>W</v>
          </cell>
        </row>
        <row r="165">
          <cell r="L165" t="str">
            <v>Registered</v>
          </cell>
          <cell r="S165" t="str">
            <v>th630p</v>
          </cell>
          <cell r="AB165" t="str">
            <v>First Year</v>
          </cell>
          <cell r="AH165" t="str">
            <v>18-22</v>
          </cell>
          <cell r="AI165" t="str">
            <v>Somewhat Conservative</v>
          </cell>
          <cell r="CN165" t="str">
            <v>E</v>
          </cell>
          <cell r="CP165" t="str">
            <v>F</v>
          </cell>
          <cell r="CQ165" t="str">
            <v>S</v>
          </cell>
          <cell r="CR165" t="str">
            <v>O3</v>
          </cell>
          <cell r="CS165" t="str">
            <v>H4</v>
          </cell>
          <cell r="CU165" t="str">
            <v>W</v>
          </cell>
        </row>
        <row r="166">
          <cell r="L166" t="str">
            <v>Confirmed</v>
          </cell>
          <cell r="S166" t="str">
            <v>m1030v</v>
          </cell>
          <cell r="AB166" t="str">
            <v>Senior</v>
          </cell>
          <cell r="AH166" t="str">
            <v>18-22</v>
          </cell>
          <cell r="AI166" t="str">
            <v>Somewhat Liberal</v>
          </cell>
          <cell r="CN166" t="str">
            <v>E</v>
          </cell>
          <cell r="CP166" t="str">
            <v>F</v>
          </cell>
          <cell r="CQ166" t="str">
            <v>S</v>
          </cell>
          <cell r="CR166" t="str">
            <v>O4</v>
          </cell>
          <cell r="CS166" t="str">
            <v>H2</v>
          </cell>
          <cell r="CU166" t="str">
            <v>W</v>
          </cell>
        </row>
        <row r="167">
          <cell r="L167" t="str">
            <v>Confirmed</v>
          </cell>
          <cell r="S167" t="str">
            <v>m230p</v>
          </cell>
          <cell r="AB167" t="str">
            <v>Senior</v>
          </cell>
          <cell r="AH167" t="str">
            <v>18-22</v>
          </cell>
          <cell r="AI167" t="str">
            <v>Very Liberal</v>
          </cell>
          <cell r="CN167" t="str">
            <v>E</v>
          </cell>
          <cell r="CP167" t="str">
            <v>F</v>
          </cell>
          <cell r="CQ167" t="str">
            <v>S</v>
          </cell>
          <cell r="CR167" t="str">
            <v>O1</v>
          </cell>
          <cell r="CS167" t="str">
            <v>H2</v>
          </cell>
          <cell r="CU167" t="str">
            <v>W</v>
          </cell>
        </row>
        <row r="168">
          <cell r="L168" t="str">
            <v>Withdrawn</v>
          </cell>
          <cell r="AH168" t="str">
            <v>65+</v>
          </cell>
          <cell r="AI168" t="str">
            <v>Moderate</v>
          </cell>
          <cell r="CN168" t="str">
            <v>P</v>
          </cell>
          <cell r="CP168" t="str">
            <v>F</v>
          </cell>
          <cell r="CQ168" t="str">
            <v>NS</v>
          </cell>
          <cell r="CR168" t="str">
            <v>O1</v>
          </cell>
          <cell r="CS168" t="str">
            <v>H3</v>
          </cell>
          <cell r="CU168" t="str">
            <v>W</v>
          </cell>
        </row>
        <row r="169">
          <cell r="L169" t="str">
            <v>Confirmed</v>
          </cell>
          <cell r="S169" t="str">
            <v>su100p</v>
          </cell>
          <cell r="AB169" t="str">
            <v>First Year</v>
          </cell>
          <cell r="AH169" t="str">
            <v>18-22</v>
          </cell>
          <cell r="AI169" t="str">
            <v>Somewhat Liberal</v>
          </cell>
          <cell r="CN169" t="str">
            <v>E</v>
          </cell>
          <cell r="CP169" t="str">
            <v>M</v>
          </cell>
          <cell r="CQ169" t="str">
            <v>S</v>
          </cell>
          <cell r="CR169" t="str">
            <v>O4</v>
          </cell>
          <cell r="CS169" t="str">
            <v>H2</v>
          </cell>
          <cell r="CU169" t="str">
            <v>NW</v>
          </cell>
        </row>
        <row r="170">
          <cell r="L170" t="str">
            <v>Confirmed</v>
          </cell>
          <cell r="S170" t="str">
            <v>su100p</v>
          </cell>
          <cell r="AB170" t="str">
            <v>Senior</v>
          </cell>
          <cell r="AH170" t="str">
            <v>18-22</v>
          </cell>
          <cell r="AI170" t="str">
            <v>Somewhat Conservative</v>
          </cell>
          <cell r="CN170" t="str">
            <v>E</v>
          </cell>
          <cell r="CP170" t="str">
            <v>M</v>
          </cell>
          <cell r="CQ170" t="str">
            <v>S</v>
          </cell>
          <cell r="CR170" t="str">
            <v>O4</v>
          </cell>
          <cell r="CS170" t="str">
            <v>H4</v>
          </cell>
          <cell r="CU170" t="str">
            <v>W</v>
          </cell>
        </row>
        <row r="171">
          <cell r="L171" t="str">
            <v>Confirmed</v>
          </cell>
          <cell r="S171" t="str">
            <v>tu630p</v>
          </cell>
          <cell r="AB171" t="str">
            <v>Sophomore</v>
          </cell>
          <cell r="AH171" t="str">
            <v>18-22</v>
          </cell>
          <cell r="AI171" t="str">
            <v>Somewhat Conservative</v>
          </cell>
          <cell r="CN171" t="str">
            <v>E</v>
          </cell>
          <cell r="CP171" t="str">
            <v>M</v>
          </cell>
          <cell r="CQ171" t="str">
            <v>S</v>
          </cell>
          <cell r="CR171" t="str">
            <v>O3</v>
          </cell>
          <cell r="CS171" t="str">
            <v>H3</v>
          </cell>
          <cell r="CU171" t="str">
            <v>W</v>
          </cell>
        </row>
        <row r="172">
          <cell r="L172" t="str">
            <v>Confirmed</v>
          </cell>
          <cell r="S172" t="str">
            <v>m230v</v>
          </cell>
          <cell r="AB172" t="str">
            <v>Sophomore</v>
          </cell>
          <cell r="AH172" t="str">
            <v>18-22</v>
          </cell>
          <cell r="AI172" t="str">
            <v>Very Liberal</v>
          </cell>
          <cell r="CN172" t="str">
            <v>Z</v>
          </cell>
          <cell r="CP172" t="str">
            <v>F</v>
          </cell>
          <cell r="CQ172" t="str">
            <v>S</v>
          </cell>
          <cell r="CR172" t="str">
            <v>O2</v>
          </cell>
          <cell r="CS172" t="str">
            <v>H2</v>
          </cell>
          <cell r="CU172" t="str">
            <v>W</v>
          </cell>
        </row>
        <row r="173">
          <cell r="L173" t="str">
            <v>Confirmed</v>
          </cell>
          <cell r="S173" t="str">
            <v>Fellow</v>
          </cell>
          <cell r="AB173" t="str">
            <v>Sophomore</v>
          </cell>
          <cell r="AH173" t="str">
            <v>18-22</v>
          </cell>
          <cell r="AI173" t="str">
            <v>Moderate</v>
          </cell>
          <cell r="CN173" t="str">
            <v>E</v>
          </cell>
          <cell r="CP173" t="str">
            <v>F</v>
          </cell>
          <cell r="CQ173" t="str">
            <v>S</v>
          </cell>
          <cell r="CR173" t="str">
            <v>O3</v>
          </cell>
          <cell r="CS173" t="str">
            <v>H3</v>
          </cell>
          <cell r="CU173" t="str">
            <v>NW</v>
          </cell>
        </row>
        <row r="174">
          <cell r="L174" t="str">
            <v>Confirmed</v>
          </cell>
          <cell r="S174" t="str">
            <v>sa1000v</v>
          </cell>
          <cell r="AB174" t="str">
            <v>Junior</v>
          </cell>
          <cell r="AH174" t="str">
            <v>18-22</v>
          </cell>
          <cell r="AI174" t="str">
            <v>Other/Prefer Not to Respond</v>
          </cell>
          <cell r="CN174" t="str">
            <v>E</v>
          </cell>
          <cell r="CP174" t="str">
            <v>M</v>
          </cell>
          <cell r="CQ174" t="str">
            <v>S</v>
          </cell>
          <cell r="CR174" t="str">
            <v>O3</v>
          </cell>
          <cell r="CS174" t="str">
            <v>H3</v>
          </cell>
          <cell r="CU174" t="str">
            <v>NW</v>
          </cell>
        </row>
        <row r="175">
          <cell r="L175" t="str">
            <v>Confirmed</v>
          </cell>
          <cell r="S175" t="str">
            <v>tu630p</v>
          </cell>
          <cell r="AB175" t="str">
            <v>Junior</v>
          </cell>
          <cell r="AH175" t="str">
            <v>18-22</v>
          </cell>
          <cell r="AI175" t="str">
            <v>Somewhat Liberal</v>
          </cell>
          <cell r="CN175" t="str">
            <v>E</v>
          </cell>
          <cell r="CP175" t="str">
            <v>F</v>
          </cell>
          <cell r="CQ175" t="str">
            <v>S</v>
          </cell>
          <cell r="CR175" t="str">
            <v>O1</v>
          </cell>
          <cell r="CS175" t="str">
            <v>H2</v>
          </cell>
          <cell r="CU175" t="str">
            <v>W</v>
          </cell>
        </row>
        <row r="176">
          <cell r="L176" t="str">
            <v>Withdrawn</v>
          </cell>
          <cell r="S176"/>
          <cell r="AB176" t="str">
            <v>Sophomore</v>
          </cell>
          <cell r="AH176" t="str">
            <v>18-22</v>
          </cell>
          <cell r="AI176" t="str">
            <v>Somewhat Liberal</v>
          </cell>
          <cell r="CN176" t="str">
            <v>E</v>
          </cell>
          <cell r="CP176" t="str">
            <v>M</v>
          </cell>
          <cell r="CQ176" t="str">
            <v>S</v>
          </cell>
          <cell r="CR176" t="str">
            <v>O2</v>
          </cell>
          <cell r="CS176" t="str">
            <v>H2</v>
          </cell>
          <cell r="CU176" t="str">
            <v>W</v>
          </cell>
        </row>
        <row r="177">
          <cell r="L177" t="str">
            <v>Confirmed</v>
          </cell>
          <cell r="S177" t="str">
            <v>tu430p1</v>
          </cell>
          <cell r="AB177" t="str">
            <v>Sophomore</v>
          </cell>
          <cell r="AH177" t="str">
            <v>18-22</v>
          </cell>
          <cell r="AI177" t="str">
            <v>Other/Prefer Not to Respond</v>
          </cell>
          <cell r="CN177" t="str">
            <v>E</v>
          </cell>
          <cell r="CP177" t="str">
            <v>M</v>
          </cell>
          <cell r="CQ177" t="str">
            <v>S</v>
          </cell>
          <cell r="CR177" t="str">
            <v>O4</v>
          </cell>
          <cell r="CS177" t="str">
            <v>H2</v>
          </cell>
          <cell r="CU177" t="str">
            <v>W</v>
          </cell>
        </row>
        <row r="178">
          <cell r="L178" t="str">
            <v>Withdrawn</v>
          </cell>
          <cell r="AH178" t="str">
            <v>30-39</v>
          </cell>
          <cell r="AI178" t="str">
            <v>Somewhat Liberal</v>
          </cell>
          <cell r="CN178" t="str">
            <v>Z</v>
          </cell>
          <cell r="CP178" t="str">
            <v>F</v>
          </cell>
          <cell r="CQ178" t="str">
            <v>NS</v>
          </cell>
          <cell r="CR178" t="str">
            <v>O1</v>
          </cell>
          <cell r="CS178" t="str">
            <v>H1</v>
          </cell>
          <cell r="CU178" t="str">
            <v>W</v>
          </cell>
        </row>
        <row r="179">
          <cell r="L179" t="str">
            <v>Withdrawn</v>
          </cell>
          <cell r="AH179" t="str">
            <v>51-64</v>
          </cell>
          <cell r="AI179" t="str">
            <v>Somewhat Liberal</v>
          </cell>
          <cell r="CN179" t="str">
            <v>P</v>
          </cell>
          <cell r="CP179" t="str">
            <v>F</v>
          </cell>
          <cell r="CQ179" t="str">
            <v>NS</v>
          </cell>
          <cell r="CR179" t="str">
            <v>O2</v>
          </cell>
          <cell r="CS179" t="str">
            <v>H1</v>
          </cell>
          <cell r="CU179" t="str">
            <v>NW</v>
          </cell>
        </row>
        <row r="180">
          <cell r="L180" t="str">
            <v>Confirmed</v>
          </cell>
          <cell r="S180" t="str">
            <v>Fellow</v>
          </cell>
          <cell r="AB180" t="str">
            <v>Sophomore</v>
          </cell>
          <cell r="AH180" t="str">
            <v>18-22</v>
          </cell>
          <cell r="AI180" t="str">
            <v>Very Liberal</v>
          </cell>
          <cell r="CN180" t="str">
            <v>E</v>
          </cell>
          <cell r="CP180" t="str">
            <v>M</v>
          </cell>
          <cell r="CQ180" t="str">
            <v>S</v>
          </cell>
          <cell r="CR180" t="str">
            <v>O1</v>
          </cell>
          <cell r="CS180" t="str">
            <v>H1</v>
          </cell>
          <cell r="CU180" t="str">
            <v>W</v>
          </cell>
        </row>
        <row r="181">
          <cell r="L181" t="str">
            <v>Confirmed</v>
          </cell>
          <cell r="S181" t="str">
            <v>Fellow</v>
          </cell>
          <cell r="AB181" t="str">
            <v>Senior</v>
          </cell>
          <cell r="AH181" t="str">
            <v>18-22</v>
          </cell>
          <cell r="AI181" t="str">
            <v>Somewhat Liberal</v>
          </cell>
          <cell r="CN181" t="str">
            <v>E</v>
          </cell>
          <cell r="CP181" t="str">
            <v>F</v>
          </cell>
          <cell r="CQ181" t="str">
            <v>S</v>
          </cell>
          <cell r="CR181" t="str">
            <v>O2</v>
          </cell>
          <cell r="CS181" t="str">
            <v>H3</v>
          </cell>
          <cell r="CU181" t="str">
            <v>NW</v>
          </cell>
        </row>
        <row r="182">
          <cell r="L182" t="str">
            <v>Confirmed</v>
          </cell>
          <cell r="S182" t="str">
            <v>Fellow</v>
          </cell>
          <cell r="AB182" t="str">
            <v>First Year</v>
          </cell>
          <cell r="AH182" t="str">
            <v>18-22</v>
          </cell>
          <cell r="AI182" t="str">
            <v>Somewhat Liberal</v>
          </cell>
          <cell r="CN182" t="str">
            <v>Z</v>
          </cell>
          <cell r="CP182" t="str">
            <v>F</v>
          </cell>
          <cell r="CQ182" t="str">
            <v>S</v>
          </cell>
          <cell r="CR182" t="str">
            <v>O2</v>
          </cell>
          <cell r="CS182" t="str">
            <v>H2</v>
          </cell>
          <cell r="CU182" t="str">
            <v>NW</v>
          </cell>
        </row>
        <row r="183">
          <cell r="L183" t="str">
            <v>Confirmed</v>
          </cell>
          <cell r="S183" t="str">
            <v>th200v</v>
          </cell>
          <cell r="AB183" t="str">
            <v>Sophomore</v>
          </cell>
          <cell r="AH183" t="str">
            <v>18-22</v>
          </cell>
          <cell r="AI183" t="str">
            <v>Moderate</v>
          </cell>
          <cell r="CN183" t="str">
            <v>E</v>
          </cell>
          <cell r="CP183" t="str">
            <v>M</v>
          </cell>
          <cell r="CQ183" t="str">
            <v>S</v>
          </cell>
          <cell r="CR183" t="str">
            <v>O4</v>
          </cell>
          <cell r="CS183" t="str">
            <v>H5</v>
          </cell>
          <cell r="CU183" t="str">
            <v>NW</v>
          </cell>
        </row>
        <row r="184">
          <cell r="L184" t="str">
            <v>Confirmed</v>
          </cell>
          <cell r="S184" t="str">
            <v>th630v</v>
          </cell>
          <cell r="AH184" t="str">
            <v>51-64</v>
          </cell>
          <cell r="AI184" t="str">
            <v>Somewhat Conservative</v>
          </cell>
          <cell r="CN184" t="str">
            <v>Z</v>
          </cell>
          <cell r="CP184" t="str">
            <v>F</v>
          </cell>
          <cell r="CQ184" t="str">
            <v>NS</v>
          </cell>
          <cell r="CR184" t="str">
            <v>O4</v>
          </cell>
          <cell r="CS184" t="str">
            <v>H4</v>
          </cell>
          <cell r="CU184" t="str">
            <v>W</v>
          </cell>
        </row>
        <row r="185">
          <cell r="L185" t="str">
            <v>Withdrawn after first meeting</v>
          </cell>
          <cell r="S185" t="str">
            <v>m1030v</v>
          </cell>
          <cell r="AH185" t="str">
            <v>51-64</v>
          </cell>
          <cell r="AI185" t="str">
            <v>Somewhat Liberal</v>
          </cell>
          <cell r="CN185" t="str">
            <v>Z</v>
          </cell>
          <cell r="CP185" t="str">
            <v>F</v>
          </cell>
          <cell r="CQ185" t="str">
            <v>NS</v>
          </cell>
          <cell r="CR185" t="str">
            <v>O2</v>
          </cell>
          <cell r="CS185" t="str">
            <v>H2</v>
          </cell>
          <cell r="CU185" t="str">
            <v>W</v>
          </cell>
        </row>
        <row r="186">
          <cell r="L186" t="str">
            <v>Confirmed</v>
          </cell>
          <cell r="S186" t="str">
            <v>m1030v</v>
          </cell>
          <cell r="AB186" t="str">
            <v>Senior</v>
          </cell>
          <cell r="AH186" t="str">
            <v>18-22</v>
          </cell>
          <cell r="AI186" t="str">
            <v>Somewhat Liberal</v>
          </cell>
          <cell r="CN186" t="str">
            <v>E</v>
          </cell>
          <cell r="CP186" t="str">
            <v>F</v>
          </cell>
          <cell r="CQ186" t="str">
            <v>S</v>
          </cell>
          <cell r="CR186" t="str">
            <v>O1</v>
          </cell>
          <cell r="CS186" t="str">
            <v>H1</v>
          </cell>
          <cell r="CU186" t="str">
            <v>NW</v>
          </cell>
        </row>
        <row r="187">
          <cell r="L187" t="str">
            <v>Confirmed</v>
          </cell>
          <cell r="S187" t="str">
            <v>f230p</v>
          </cell>
          <cell r="AB187" t="str">
            <v>Sophomore</v>
          </cell>
          <cell r="AH187" t="str">
            <v>18-22</v>
          </cell>
          <cell r="AI187" t="str">
            <v>Moderate</v>
          </cell>
          <cell r="CN187" t="str">
            <v>E</v>
          </cell>
          <cell r="CP187" t="str">
            <v>M</v>
          </cell>
          <cell r="CQ187" t="str">
            <v>S</v>
          </cell>
          <cell r="CR187" t="str">
            <v>O2</v>
          </cell>
          <cell r="CS187" t="str">
            <v>H2</v>
          </cell>
          <cell r="CU187" t="str">
            <v>W</v>
          </cell>
        </row>
        <row r="188">
          <cell r="L188" t="str">
            <v>Confirmed</v>
          </cell>
          <cell r="S188" t="str">
            <v>w630v</v>
          </cell>
          <cell r="AB188" t="str">
            <v>Senior</v>
          </cell>
          <cell r="AH188" t="str">
            <v>18-22</v>
          </cell>
          <cell r="AI188" t="str">
            <v>Moderate</v>
          </cell>
          <cell r="CN188" t="str">
            <v>Z</v>
          </cell>
          <cell r="CP188" t="str">
            <v>M</v>
          </cell>
          <cell r="CQ188" t="str">
            <v>S</v>
          </cell>
          <cell r="CR188" t="str">
            <v>O2</v>
          </cell>
          <cell r="CS188" t="str">
            <v>H2</v>
          </cell>
          <cell r="CU188" t="str">
            <v>NW</v>
          </cell>
        </row>
        <row r="189">
          <cell r="L189" t="str">
            <v>Confirmed</v>
          </cell>
          <cell r="S189" t="str">
            <v>f230p</v>
          </cell>
          <cell r="AB189" t="str">
            <v>First Year</v>
          </cell>
          <cell r="AH189" t="str">
            <v>18-22</v>
          </cell>
          <cell r="AI189" t="str">
            <v>Very Liberal</v>
          </cell>
          <cell r="CN189" t="str">
            <v>E</v>
          </cell>
          <cell r="CP189" t="str">
            <v>F</v>
          </cell>
          <cell r="CQ189" t="str">
            <v>S</v>
          </cell>
          <cell r="CR189" t="str">
            <v>O3</v>
          </cell>
          <cell r="CS189" t="str">
            <v>H1</v>
          </cell>
          <cell r="CU189" t="str">
            <v>NW</v>
          </cell>
        </row>
        <row r="190">
          <cell r="L190" t="str">
            <v>Confirmed</v>
          </cell>
          <cell r="S190" t="str">
            <v>Fellow</v>
          </cell>
          <cell r="AB190" t="str">
            <v>Senior</v>
          </cell>
          <cell r="AH190" t="str">
            <v>23-29</v>
          </cell>
          <cell r="AI190" t="str">
            <v>Very Liberal</v>
          </cell>
          <cell r="CN190" t="str">
            <v>P</v>
          </cell>
          <cell r="CP190" t="str">
            <v>F</v>
          </cell>
          <cell r="CQ190" t="str">
            <v>S</v>
          </cell>
          <cell r="CR190" t="str">
            <v>O3</v>
          </cell>
          <cell r="CS190" t="str">
            <v>H3</v>
          </cell>
          <cell r="CU190" t="str">
            <v>W</v>
          </cell>
        </row>
        <row r="191">
          <cell r="L191" t="str">
            <v>Confirmed</v>
          </cell>
          <cell r="S191" t="str">
            <v>m230p</v>
          </cell>
          <cell r="AB191" t="str">
            <v>Senior</v>
          </cell>
          <cell r="AH191" t="str">
            <v>18-22</v>
          </cell>
          <cell r="AI191" t="str">
            <v>Very Liberal</v>
          </cell>
          <cell r="CN191" t="str">
            <v>E</v>
          </cell>
          <cell r="CP191" t="str">
            <v>M</v>
          </cell>
          <cell r="CQ191" t="str">
            <v>S</v>
          </cell>
          <cell r="CR191" t="str">
            <v>O2</v>
          </cell>
          <cell r="CS191" t="str">
            <v>H1</v>
          </cell>
          <cell r="CU191" t="str">
            <v>NW</v>
          </cell>
        </row>
        <row r="192">
          <cell r="L192" t="str">
            <v>Confirmed</v>
          </cell>
          <cell r="S192" t="str">
            <v>Fellow</v>
          </cell>
          <cell r="AB192" t="str">
            <v>Senior</v>
          </cell>
          <cell r="AH192" t="str">
            <v>18-22</v>
          </cell>
          <cell r="AI192" t="str">
            <v>Somewhat Conservative</v>
          </cell>
          <cell r="CN192" t="str">
            <v>P</v>
          </cell>
          <cell r="CP192" t="str">
            <v>M</v>
          </cell>
          <cell r="CQ192" t="str">
            <v>S</v>
          </cell>
          <cell r="CR192" t="str">
            <v>O3</v>
          </cell>
          <cell r="CS192" t="str">
            <v>H3</v>
          </cell>
          <cell r="CU192" t="str">
            <v>NW</v>
          </cell>
        </row>
        <row r="193">
          <cell r="L193" t="str">
            <v>Confirmed</v>
          </cell>
          <cell r="S193" t="str">
            <v>Fellow</v>
          </cell>
          <cell r="AB193" t="str">
            <v>Junior</v>
          </cell>
          <cell r="AH193" t="str">
            <v>18-22</v>
          </cell>
          <cell r="AI193" t="str">
            <v>Very Liberal</v>
          </cell>
          <cell r="CN193" t="str">
            <v>E</v>
          </cell>
          <cell r="CP193" t="str">
            <v>F</v>
          </cell>
          <cell r="CQ193" t="str">
            <v>S</v>
          </cell>
          <cell r="CR193" t="str">
            <v>O1</v>
          </cell>
          <cell r="CS193" t="str">
            <v>H1</v>
          </cell>
          <cell r="CU193" t="str">
            <v>W</v>
          </cell>
        </row>
        <row r="194">
          <cell r="L194" t="str">
            <v>Confirmed</v>
          </cell>
          <cell r="S194" t="str">
            <v>m1030v</v>
          </cell>
          <cell r="AH194" t="str">
            <v>51-64</v>
          </cell>
          <cell r="AI194" t="str">
            <v>Very Liberal</v>
          </cell>
          <cell r="CN194" t="str">
            <v>Z</v>
          </cell>
          <cell r="CP194" t="str">
            <v>M</v>
          </cell>
          <cell r="CQ194" t="str">
            <v>NS</v>
          </cell>
          <cell r="CR194" t="str">
            <v>O1</v>
          </cell>
          <cell r="CS194" t="str">
            <v>H1</v>
          </cell>
          <cell r="CU194" t="str">
            <v>W</v>
          </cell>
        </row>
        <row r="195">
          <cell r="L195" t="str">
            <v>Confirmed</v>
          </cell>
          <cell r="S195" t="str">
            <v>tu430p1</v>
          </cell>
          <cell r="AB195" t="str">
            <v>Junior</v>
          </cell>
          <cell r="AH195" t="str">
            <v>18-22</v>
          </cell>
          <cell r="AI195" t="str">
            <v>Moderate</v>
          </cell>
          <cell r="CN195" t="str">
            <v>E</v>
          </cell>
          <cell r="CP195" t="str">
            <v>M</v>
          </cell>
          <cell r="CQ195" t="str">
            <v>S</v>
          </cell>
          <cell r="CR195" t="str">
            <v>O4</v>
          </cell>
          <cell r="CS195" t="str">
            <v>H4</v>
          </cell>
          <cell r="CU195" t="str">
            <v>NW</v>
          </cell>
        </row>
        <row r="196">
          <cell r="L196" t="str">
            <v>Confirmed</v>
          </cell>
          <cell r="S196" t="str">
            <v>m1030v</v>
          </cell>
          <cell r="AH196" t="str">
            <v>65+</v>
          </cell>
          <cell r="AI196" t="str">
            <v>Somewhat Liberal</v>
          </cell>
          <cell r="CN196" t="str">
            <v>E</v>
          </cell>
          <cell r="CP196" t="str">
            <v>F</v>
          </cell>
          <cell r="CQ196" t="str">
            <v>NS</v>
          </cell>
          <cell r="CR196" t="str">
            <v>O3</v>
          </cell>
          <cell r="CS196" t="str">
            <v>H4</v>
          </cell>
          <cell r="CU196" t="str">
            <v>W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53C6-733C-42D1-9A3A-5DDA17B624E6}">
  <dimension ref="A1:DG34"/>
  <sheetViews>
    <sheetView tabSelected="1" zoomScale="117" zoomScaleNormal="145" workbookViewId="0">
      <pane xSplit="5" ySplit="2" topLeftCell="DG3" activePane="bottomRight" state="frozen"/>
      <selection pane="topRight" activeCell="F1" sqref="F1"/>
      <selection pane="bottomLeft" activeCell="A3" sqref="A3"/>
      <selection pane="bottomRight" activeCell="DN2" sqref="DN2"/>
    </sheetView>
  </sheetViews>
  <sheetFormatPr defaultRowHeight="14.4" x14ac:dyDescent="0.3"/>
  <cols>
    <col min="1" max="2" width="10.21875" customWidth="1"/>
    <col min="3" max="3" width="10.88671875" customWidth="1"/>
    <col min="4" max="4" width="54.6640625" customWidth="1"/>
    <col min="5" max="5" width="13" customWidth="1"/>
    <col min="6" max="20" width="9.88671875" customWidth="1"/>
    <col min="21" max="21" width="81.44140625" customWidth="1"/>
    <col min="22" max="22" width="10.88671875" hidden="1" customWidth="1"/>
    <col min="23" max="26" width="12.109375" hidden="1" customWidth="1"/>
    <col min="27" max="27" width="14.6640625" hidden="1" customWidth="1"/>
    <col min="28" max="36" width="9.33203125" style="112" hidden="1" customWidth="1"/>
    <col min="37" max="37" width="17.5546875" style="112" hidden="1" customWidth="1"/>
    <col min="38" max="46" width="9.33203125" style="112" hidden="1" customWidth="1"/>
    <col min="47" max="47" width="10" style="112" hidden="1" customWidth="1"/>
    <col min="48" max="48" width="9.77734375" style="112" hidden="1" customWidth="1"/>
    <col min="49" max="49" width="8.44140625" hidden="1" customWidth="1"/>
    <col min="50" max="50" width="9.33203125" hidden="1" customWidth="1"/>
    <col min="51" max="51" width="7.109375" customWidth="1"/>
    <col min="52" max="52" width="7.88671875" style="112" customWidth="1"/>
    <col min="53" max="53" width="9.109375" style="112" hidden="1" customWidth="1"/>
    <col min="54" max="54" width="4.21875" style="13" customWidth="1"/>
    <col min="55" max="59" width="4.77734375" style="13" customWidth="1"/>
    <col min="60" max="64" width="4" style="13" customWidth="1"/>
    <col min="65" max="65" width="5.109375" style="13" customWidth="1"/>
    <col min="66" max="66" width="4" style="13" customWidth="1"/>
    <col min="67" max="67" width="4.77734375" style="13" customWidth="1"/>
    <col min="68" max="72" width="4" style="13" customWidth="1"/>
    <col min="73" max="73" width="5.44140625" style="13" customWidth="1"/>
    <col min="74" max="81" width="4" style="13" customWidth="1"/>
    <col min="82" max="82" width="4.44140625" style="13" customWidth="1"/>
    <col min="83" max="83" width="4" style="13" hidden="1" customWidth="1"/>
    <col min="84" max="85" width="4" style="13" customWidth="1"/>
    <col min="86" max="86" width="5" style="13" customWidth="1"/>
    <col min="87" max="88" width="4" style="13" customWidth="1"/>
    <col min="89" max="89" width="5.88671875" style="13" customWidth="1"/>
    <col min="90" max="90" width="8.109375" style="13" customWidth="1"/>
    <col min="91" max="105" width="4" style="13" customWidth="1"/>
    <col min="106" max="106" width="8.6640625" hidden="1" customWidth="1"/>
    <col min="107" max="108" width="6" hidden="1" customWidth="1"/>
  </cols>
  <sheetData>
    <row r="1" spans="1:108" ht="19.2" customHeight="1" x14ac:dyDescent="0.3">
      <c r="K1" t="s">
        <v>0</v>
      </c>
      <c r="M1" t="s">
        <v>1</v>
      </c>
      <c r="O1" t="s">
        <v>2</v>
      </c>
      <c r="P1" t="s">
        <v>3</v>
      </c>
      <c r="Q1" t="s">
        <v>4</v>
      </c>
      <c r="R1" t="s">
        <v>5</v>
      </c>
      <c r="S1" t="s">
        <v>3</v>
      </c>
      <c r="T1" t="s">
        <v>4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7</v>
      </c>
      <c r="AG1" s="1" t="s">
        <v>8</v>
      </c>
      <c r="AH1" s="1" t="s">
        <v>10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Z1" s="2" t="s">
        <v>11</v>
      </c>
      <c r="BA1" s="3"/>
      <c r="BB1" s="4"/>
      <c r="BC1" s="4"/>
      <c r="BD1" s="4"/>
      <c r="BE1" s="4"/>
      <c r="BF1" s="4"/>
      <c r="BG1" s="4"/>
      <c r="BH1" s="5" t="s">
        <v>12</v>
      </c>
      <c r="BI1" s="6"/>
      <c r="BJ1" s="6"/>
      <c r="BK1" s="6"/>
      <c r="BL1" s="6"/>
      <c r="BM1" s="7"/>
      <c r="BN1" s="8"/>
      <c r="BO1" s="9" t="s">
        <v>13</v>
      </c>
      <c r="BP1" s="9"/>
      <c r="BQ1" s="9"/>
      <c r="BR1" s="9"/>
      <c r="BS1" s="9"/>
      <c r="BT1" s="10"/>
      <c r="BU1" s="11" t="s">
        <v>14</v>
      </c>
      <c r="BV1" s="11"/>
      <c r="BW1" s="11"/>
      <c r="BX1" s="11"/>
      <c r="BY1" s="11"/>
      <c r="BZ1" s="12"/>
      <c r="CB1" s="14"/>
      <c r="CC1" s="14"/>
      <c r="CD1" s="15" t="s">
        <v>15</v>
      </c>
      <c r="CE1" s="16"/>
      <c r="CF1" s="17"/>
      <c r="CG1" s="18" t="s">
        <v>16</v>
      </c>
      <c r="CH1" s="19" t="s">
        <v>17</v>
      </c>
      <c r="CI1" s="20"/>
      <c r="CJ1" s="21" t="s">
        <v>16</v>
      </c>
      <c r="CK1" s="22" t="s">
        <v>18</v>
      </c>
      <c r="CL1" s="23"/>
      <c r="CM1" s="24" t="s">
        <v>16</v>
      </c>
      <c r="CN1" s="25" t="s">
        <v>19</v>
      </c>
      <c r="CO1" s="26"/>
      <c r="CP1" s="26"/>
      <c r="CQ1" s="26"/>
      <c r="CR1" s="27"/>
      <c r="CS1" s="27"/>
      <c r="CT1" s="28" t="s">
        <v>16</v>
      </c>
      <c r="CU1" s="29" t="s">
        <v>20</v>
      </c>
      <c r="CV1" s="30"/>
      <c r="CW1" s="30"/>
      <c r="CX1" s="30"/>
      <c r="CY1" s="31" t="s">
        <v>21</v>
      </c>
      <c r="CZ1" s="32"/>
      <c r="DA1" s="33"/>
      <c r="DB1" t="s">
        <v>22</v>
      </c>
    </row>
    <row r="2" spans="1:108" ht="165" thickBot="1" x14ac:dyDescent="0.35">
      <c r="A2" s="34" t="s">
        <v>23</v>
      </c>
      <c r="B2" s="34" t="s">
        <v>24</v>
      </c>
      <c r="C2" s="35" t="s">
        <v>25</v>
      </c>
      <c r="D2" s="36" t="s">
        <v>21</v>
      </c>
      <c r="E2" s="35" t="s">
        <v>26</v>
      </c>
      <c r="F2" s="35" t="s">
        <v>27</v>
      </c>
      <c r="G2" s="35" t="s">
        <v>28</v>
      </c>
      <c r="H2" s="35" t="s">
        <v>29</v>
      </c>
      <c r="I2" s="35" t="s">
        <v>30</v>
      </c>
      <c r="J2" s="35" t="s">
        <v>31</v>
      </c>
      <c r="K2" s="35" t="s">
        <v>32</v>
      </c>
      <c r="L2" s="35" t="s">
        <v>33</v>
      </c>
      <c r="M2" s="35" t="s">
        <v>32</v>
      </c>
      <c r="N2" s="35" t="s">
        <v>33</v>
      </c>
      <c r="O2" s="37">
        <v>1</v>
      </c>
      <c r="P2" s="37">
        <v>0.5</v>
      </c>
      <c r="Q2" s="37">
        <v>0</v>
      </c>
      <c r="R2" s="37">
        <v>1</v>
      </c>
      <c r="S2" s="37">
        <v>0.5</v>
      </c>
      <c r="T2" s="37">
        <v>0</v>
      </c>
      <c r="U2" s="38" t="s">
        <v>34</v>
      </c>
      <c r="V2" s="39" t="s">
        <v>28</v>
      </c>
      <c r="W2" s="35" t="s">
        <v>35</v>
      </c>
      <c r="X2" s="35" t="s">
        <v>36</v>
      </c>
      <c r="Y2" s="35" t="s">
        <v>37</v>
      </c>
      <c r="Z2" s="35" t="s">
        <v>38</v>
      </c>
      <c r="AA2" s="35"/>
      <c r="AB2" s="37">
        <v>1</v>
      </c>
      <c r="AC2" s="37">
        <v>0.5</v>
      </c>
      <c r="AD2" s="37"/>
      <c r="AE2" s="37">
        <v>1</v>
      </c>
      <c r="AF2" s="37">
        <v>0.5</v>
      </c>
      <c r="AG2" s="37"/>
      <c r="AH2" s="37">
        <v>1</v>
      </c>
      <c r="AI2" s="37">
        <v>0.5</v>
      </c>
      <c r="AJ2" s="37"/>
      <c r="AK2" s="37" t="s">
        <v>39</v>
      </c>
      <c r="AL2" s="40" t="s">
        <v>40</v>
      </c>
      <c r="AM2" s="40" t="s">
        <v>41</v>
      </c>
      <c r="AN2" s="40" t="s">
        <v>42</v>
      </c>
      <c r="AO2" s="40" t="s">
        <v>43</v>
      </c>
      <c r="AP2" s="40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41" t="s">
        <v>51</v>
      </c>
      <c r="AX2" s="41" t="s">
        <v>52</v>
      </c>
      <c r="AY2" s="41" t="s">
        <v>53</v>
      </c>
      <c r="AZ2" s="42" t="s">
        <v>54</v>
      </c>
      <c r="BA2" s="43" t="s">
        <v>55</v>
      </c>
      <c r="BB2" s="44" t="s">
        <v>56</v>
      </c>
      <c r="BC2" s="45" t="s">
        <v>57</v>
      </c>
      <c r="BD2" s="45" t="s">
        <v>58</v>
      </c>
      <c r="BE2" s="46" t="s">
        <v>59</v>
      </c>
      <c r="BF2" s="47" t="s">
        <v>60</v>
      </c>
      <c r="BG2" s="47" t="s">
        <v>61</v>
      </c>
      <c r="BH2" s="48" t="s">
        <v>62</v>
      </c>
      <c r="BI2" s="49" t="s">
        <v>63</v>
      </c>
      <c r="BJ2" s="50" t="s">
        <v>64</v>
      </c>
      <c r="BK2" s="49" t="s">
        <v>65</v>
      </c>
      <c r="BL2" s="49" t="s">
        <v>66</v>
      </c>
      <c r="BM2" s="49" t="s">
        <v>67</v>
      </c>
      <c r="BN2" s="51" t="s">
        <v>68</v>
      </c>
      <c r="BO2" s="52" t="s">
        <v>69</v>
      </c>
      <c r="BP2" s="52" t="s">
        <v>70</v>
      </c>
      <c r="BQ2" s="52" t="s">
        <v>71</v>
      </c>
      <c r="BR2" s="52" t="s">
        <v>72</v>
      </c>
      <c r="BS2" s="52" t="s">
        <v>73</v>
      </c>
      <c r="BT2" s="53" t="s">
        <v>74</v>
      </c>
      <c r="BU2" s="54" t="s">
        <v>75</v>
      </c>
      <c r="BV2" s="54" t="s">
        <v>76</v>
      </c>
      <c r="BW2" s="54" t="s">
        <v>77</v>
      </c>
      <c r="BX2" s="54" t="s">
        <v>78</v>
      </c>
      <c r="BY2" s="54" t="s">
        <v>79</v>
      </c>
      <c r="BZ2" s="55" t="s">
        <v>80</v>
      </c>
      <c r="CA2" s="56" t="s">
        <v>81</v>
      </c>
      <c r="CB2" s="57" t="s">
        <v>82</v>
      </c>
      <c r="CC2" s="58" t="s">
        <v>83</v>
      </c>
      <c r="CD2" s="59" t="s">
        <v>84</v>
      </c>
      <c r="CE2" s="60" t="s">
        <v>85</v>
      </c>
      <c r="CF2" s="60" t="s">
        <v>86</v>
      </c>
      <c r="CG2" s="61" t="s">
        <v>87</v>
      </c>
      <c r="CH2" s="62" t="s">
        <v>88</v>
      </c>
      <c r="CI2" s="62" t="s">
        <v>89</v>
      </c>
      <c r="CJ2" s="63" t="s">
        <v>90</v>
      </c>
      <c r="CK2" s="64" t="s">
        <v>91</v>
      </c>
      <c r="CL2" s="65" t="s">
        <v>92</v>
      </c>
      <c r="CM2" s="66" t="s">
        <v>93</v>
      </c>
      <c r="CN2" s="67" t="s">
        <v>94</v>
      </c>
      <c r="CO2" s="68" t="s">
        <v>95</v>
      </c>
      <c r="CP2" s="68" t="s">
        <v>96</v>
      </c>
      <c r="CQ2" s="68" t="s">
        <v>97</v>
      </c>
      <c r="CR2" s="68" t="s">
        <v>98</v>
      </c>
      <c r="CS2" s="68" t="s">
        <v>99</v>
      </c>
      <c r="CT2" s="69" t="s">
        <v>100</v>
      </c>
      <c r="CU2" s="70" t="s">
        <v>101</v>
      </c>
      <c r="CV2" s="70" t="s">
        <v>102</v>
      </c>
      <c r="CW2" s="70" t="s">
        <v>103</v>
      </c>
      <c r="CX2" s="70" t="s">
        <v>104</v>
      </c>
      <c r="CY2" s="71" t="s">
        <v>105</v>
      </c>
      <c r="CZ2" s="72" t="s">
        <v>106</v>
      </c>
      <c r="DA2" s="73" t="s">
        <v>107</v>
      </c>
      <c r="DB2" s="74" t="s">
        <v>108</v>
      </c>
      <c r="DC2" s="74" t="s">
        <v>84</v>
      </c>
      <c r="DD2" s="74" t="s">
        <v>107</v>
      </c>
    </row>
    <row r="3" spans="1:108" s="41" customFormat="1" ht="16.2" thickBot="1" x14ac:dyDescent="0.35">
      <c r="A3" s="75" t="s">
        <v>109</v>
      </c>
      <c r="B3" s="76">
        <v>1</v>
      </c>
      <c r="C3" s="77" t="s">
        <v>110</v>
      </c>
      <c r="D3" s="78" t="s">
        <v>111</v>
      </c>
      <c r="E3" s="79"/>
      <c r="F3" s="79"/>
      <c r="G3" s="79" t="s">
        <v>112</v>
      </c>
      <c r="H3" s="79" t="s">
        <v>113</v>
      </c>
      <c r="I3" s="79" t="s">
        <v>113</v>
      </c>
      <c r="J3" s="79"/>
      <c r="K3" s="79" t="s">
        <v>113</v>
      </c>
      <c r="L3" s="79" t="s">
        <v>113</v>
      </c>
      <c r="M3" s="79" t="s">
        <v>113</v>
      </c>
      <c r="N3" s="79" t="s">
        <v>113</v>
      </c>
      <c r="O3" s="80">
        <v>0</v>
      </c>
      <c r="P3" s="80">
        <v>0</v>
      </c>
      <c r="Q3" s="80">
        <v>0</v>
      </c>
      <c r="R3" s="80">
        <v>5</v>
      </c>
      <c r="S3" s="80">
        <v>0</v>
      </c>
      <c r="T3" s="80">
        <v>1</v>
      </c>
      <c r="U3" s="81" t="s">
        <v>161</v>
      </c>
      <c r="V3" s="82" t="s">
        <v>114</v>
      </c>
      <c r="W3" s="83" t="s">
        <v>115</v>
      </c>
      <c r="X3" s="83" t="s">
        <v>113</v>
      </c>
      <c r="Y3" s="83" t="s">
        <v>115</v>
      </c>
      <c r="Z3" s="84" t="s">
        <v>115</v>
      </c>
      <c r="AA3" s="85"/>
      <c r="AB3" s="86" t="e">
        <v>#VALUE!</v>
      </c>
      <c r="AC3" s="37" t="e">
        <v>#VALUE!</v>
      </c>
      <c r="AD3" s="37" t="e">
        <v>#VALUE!</v>
      </c>
      <c r="AE3" s="37" t="e">
        <v>#VALUE!</v>
      </c>
      <c r="AF3" s="37" t="e">
        <v>#VALUE!</v>
      </c>
      <c r="AG3" s="37" t="e">
        <v>#VALUE!</v>
      </c>
      <c r="AH3" s="37" t="e">
        <v>#VALUE!</v>
      </c>
      <c r="AI3" s="37" t="e">
        <v>#VALUE!</v>
      </c>
      <c r="AJ3" s="37" t="e">
        <v>#VALUE!</v>
      </c>
      <c r="AK3" s="37">
        <v>1</v>
      </c>
      <c r="AL3" s="40" t="e">
        <v>#VALUE!</v>
      </c>
      <c r="AM3" s="40"/>
      <c r="AN3" s="40" t="e">
        <v>#VALUE!</v>
      </c>
      <c r="AO3" s="40" t="e">
        <v>#VALUE!</v>
      </c>
      <c r="AP3" s="40" t="e">
        <v>#VALUE!</v>
      </c>
      <c r="AQ3" s="40" t="e">
        <v>#VALUE!</v>
      </c>
      <c r="AR3" s="40" t="e">
        <v>#VALUE!</v>
      </c>
      <c r="AS3" s="40" t="e">
        <v>#VALUE!</v>
      </c>
      <c r="AT3" s="40" t="e">
        <v>#VALUE!</v>
      </c>
      <c r="AU3" s="40" t="e">
        <v>#VALUE!</v>
      </c>
      <c r="AV3" s="40" t="e">
        <v>#VALUE!</v>
      </c>
      <c r="AW3" s="40" t="e">
        <v>#VALUE!</v>
      </c>
      <c r="AX3" s="40" t="e">
        <v>#VALUE!</v>
      </c>
      <c r="AY3" s="87">
        <v>1</v>
      </c>
      <c r="AZ3" s="77">
        <v>9</v>
      </c>
      <c r="BA3" s="37">
        <v>9</v>
      </c>
      <c r="BB3" s="80">
        <v>9</v>
      </c>
      <c r="BC3" s="80">
        <v>0</v>
      </c>
      <c r="BD3" s="80">
        <v>0</v>
      </c>
      <c r="BE3" s="80">
        <v>0</v>
      </c>
      <c r="BF3" s="80">
        <v>0</v>
      </c>
      <c r="BG3" s="80">
        <v>0</v>
      </c>
      <c r="BH3" s="80">
        <v>0</v>
      </c>
      <c r="BI3" s="80">
        <v>2</v>
      </c>
      <c r="BJ3" s="80">
        <v>2</v>
      </c>
      <c r="BK3" s="80">
        <v>3</v>
      </c>
      <c r="BL3" s="80">
        <v>2</v>
      </c>
      <c r="BM3" s="80">
        <v>0</v>
      </c>
      <c r="BN3" s="88">
        <v>2</v>
      </c>
      <c r="BO3" s="80">
        <v>1</v>
      </c>
      <c r="BP3" s="80">
        <v>1</v>
      </c>
      <c r="BQ3" s="80">
        <v>2</v>
      </c>
      <c r="BR3" s="80">
        <v>1</v>
      </c>
      <c r="BS3" s="80">
        <v>2</v>
      </c>
      <c r="BT3" s="88">
        <v>-1</v>
      </c>
      <c r="BU3" s="80">
        <v>0</v>
      </c>
      <c r="BV3" s="80">
        <v>4</v>
      </c>
      <c r="BW3" s="80">
        <v>0</v>
      </c>
      <c r="BX3" s="80">
        <v>2</v>
      </c>
      <c r="BY3" s="80">
        <v>1</v>
      </c>
      <c r="BZ3" s="88">
        <v>1</v>
      </c>
      <c r="CA3" s="88">
        <v>6</v>
      </c>
      <c r="CB3" s="88">
        <v>6</v>
      </c>
      <c r="CC3" s="88">
        <v>0</v>
      </c>
      <c r="CD3" s="80">
        <v>6</v>
      </c>
      <c r="CE3" s="80">
        <v>0</v>
      </c>
      <c r="CF3" s="80">
        <v>3</v>
      </c>
      <c r="CG3" s="89">
        <v>3</v>
      </c>
      <c r="CH3" s="80">
        <v>6</v>
      </c>
      <c r="CI3" s="80">
        <v>3</v>
      </c>
      <c r="CJ3" s="89">
        <v>3</v>
      </c>
      <c r="CK3" s="80">
        <v>6</v>
      </c>
      <c r="CL3" s="80">
        <v>3</v>
      </c>
      <c r="CM3" s="89">
        <v>3</v>
      </c>
      <c r="CN3" s="80">
        <v>6</v>
      </c>
      <c r="CO3" s="80">
        <v>0</v>
      </c>
      <c r="CP3" s="80">
        <v>0</v>
      </c>
      <c r="CQ3" s="80">
        <v>1</v>
      </c>
      <c r="CR3" s="80">
        <v>2</v>
      </c>
      <c r="CS3" s="80">
        <v>0</v>
      </c>
      <c r="CT3" s="90">
        <v>3</v>
      </c>
      <c r="CU3" s="80">
        <v>3</v>
      </c>
      <c r="CV3" s="80">
        <v>2</v>
      </c>
      <c r="CW3" s="80">
        <v>0</v>
      </c>
      <c r="CX3" s="80">
        <v>1</v>
      </c>
      <c r="CY3" s="80">
        <v>1</v>
      </c>
      <c r="CZ3" s="80">
        <v>0</v>
      </c>
      <c r="DA3" s="80">
        <v>8</v>
      </c>
      <c r="DB3" s="91" t="e">
        <f>COUNTIFS([2]Data!$CX$3:$CX$194,$A3,[2]Data!$AU$3:$AU$194,DB$2)</f>
        <v>#VALUE!</v>
      </c>
      <c r="DC3" s="92" t="e">
        <f>COUNTIFS([2]Data!$CX$3:$CX$194,$A3,[2]Data!$AU$3:$AU$194,DC$2)</f>
        <v>#VALUE!</v>
      </c>
      <c r="DD3" s="92" t="e">
        <f>COUNTIFS([2]Data!$CX$3:$CX$194,$A3,[2]Data!$AU$3:$AU$194,DD$2)</f>
        <v>#VALUE!</v>
      </c>
    </row>
    <row r="4" spans="1:108" s="41" customFormat="1" ht="16.2" thickBot="1" x14ac:dyDescent="0.35">
      <c r="A4" s="79" t="s">
        <v>116</v>
      </c>
      <c r="B4" s="93">
        <v>2</v>
      </c>
      <c r="C4" s="77" t="s">
        <v>117</v>
      </c>
      <c r="D4" s="94" t="s">
        <v>118</v>
      </c>
      <c r="E4" s="79"/>
      <c r="F4" s="79"/>
      <c r="G4" s="79"/>
      <c r="H4" s="79" t="s">
        <v>113</v>
      </c>
      <c r="I4" s="79" t="s">
        <v>113</v>
      </c>
      <c r="J4" s="79" t="s">
        <v>113</v>
      </c>
      <c r="K4" s="79" t="s">
        <v>113</v>
      </c>
      <c r="L4" s="79" t="s">
        <v>113</v>
      </c>
      <c r="M4" s="79" t="s">
        <v>113</v>
      </c>
      <c r="N4" s="79" t="s">
        <v>113</v>
      </c>
      <c r="O4" s="80">
        <v>5</v>
      </c>
      <c r="P4" s="80">
        <v>1</v>
      </c>
      <c r="Q4" s="80">
        <v>4</v>
      </c>
      <c r="R4" s="80">
        <v>6</v>
      </c>
      <c r="S4" s="80">
        <v>1</v>
      </c>
      <c r="T4" s="80">
        <v>3</v>
      </c>
      <c r="U4" s="81" t="s">
        <v>162</v>
      </c>
      <c r="V4" s="82" t="s">
        <v>114</v>
      </c>
      <c r="W4" s="95" t="s">
        <v>115</v>
      </c>
      <c r="X4" s="83"/>
      <c r="Y4" s="83" t="s">
        <v>119</v>
      </c>
      <c r="Z4" s="84" t="s">
        <v>115</v>
      </c>
      <c r="AA4" s="85"/>
      <c r="AB4" s="86" t="e">
        <v>#VALUE!</v>
      </c>
      <c r="AC4" s="37" t="e">
        <v>#VALUE!</v>
      </c>
      <c r="AD4" s="37" t="e">
        <v>#VALUE!</v>
      </c>
      <c r="AE4" s="37" t="e">
        <v>#VALUE!</v>
      </c>
      <c r="AF4" s="37" t="e">
        <v>#VALUE!</v>
      </c>
      <c r="AG4" s="37" t="e">
        <v>#VALUE!</v>
      </c>
      <c r="AH4" s="37" t="e">
        <v>#VALUE!</v>
      </c>
      <c r="AI4" s="37" t="e">
        <v>#VALUE!</v>
      </c>
      <c r="AJ4" s="37" t="e">
        <v>#VALUE!</v>
      </c>
      <c r="AK4" s="37">
        <v>1</v>
      </c>
      <c r="AL4" s="40" t="e">
        <v>#VALUE!</v>
      </c>
      <c r="AM4" s="40"/>
      <c r="AN4" s="40" t="e">
        <v>#VALUE!</v>
      </c>
      <c r="AO4" s="40" t="e">
        <v>#VALUE!</v>
      </c>
      <c r="AP4" s="40" t="e">
        <v>#VALUE!</v>
      </c>
      <c r="AQ4" s="40" t="e">
        <v>#VALUE!</v>
      </c>
      <c r="AR4" s="40" t="e">
        <v>#VALUE!</v>
      </c>
      <c r="AS4" s="40" t="e">
        <v>#VALUE!</v>
      </c>
      <c r="AT4" s="40" t="e">
        <v>#VALUE!</v>
      </c>
      <c r="AU4" s="40" t="e">
        <v>#VALUE!</v>
      </c>
      <c r="AV4" s="40" t="e">
        <v>#VALUE!</v>
      </c>
      <c r="AW4" s="40" t="e">
        <v>#VALUE!</v>
      </c>
      <c r="AX4" s="40" t="e">
        <v>#VALUE!</v>
      </c>
      <c r="AY4" s="96">
        <v>1</v>
      </c>
      <c r="AZ4" s="37">
        <v>10</v>
      </c>
      <c r="BA4" s="37">
        <v>9</v>
      </c>
      <c r="BB4" s="80">
        <v>9</v>
      </c>
      <c r="BC4" s="80">
        <v>0</v>
      </c>
      <c r="BD4" s="80">
        <v>0</v>
      </c>
      <c r="BE4" s="80">
        <v>0</v>
      </c>
      <c r="BF4" s="80">
        <v>0</v>
      </c>
      <c r="BG4" s="80">
        <v>1</v>
      </c>
      <c r="BH4" s="80">
        <v>0</v>
      </c>
      <c r="BI4" s="80">
        <v>2</v>
      </c>
      <c r="BJ4" s="80">
        <v>0</v>
      </c>
      <c r="BK4" s="80">
        <v>2</v>
      </c>
      <c r="BL4" s="80">
        <v>4</v>
      </c>
      <c r="BM4" s="80">
        <v>2</v>
      </c>
      <c r="BN4" s="88">
        <v>-4</v>
      </c>
      <c r="BO4" s="80">
        <v>0</v>
      </c>
      <c r="BP4" s="80">
        <v>1</v>
      </c>
      <c r="BQ4" s="80">
        <v>4</v>
      </c>
      <c r="BR4" s="80">
        <v>4</v>
      </c>
      <c r="BS4" s="80">
        <v>1</v>
      </c>
      <c r="BT4" s="88">
        <v>-4</v>
      </c>
      <c r="BU4" s="80">
        <v>1</v>
      </c>
      <c r="BV4" s="80">
        <v>2</v>
      </c>
      <c r="BW4" s="80">
        <v>1</v>
      </c>
      <c r="BX4" s="80">
        <v>0</v>
      </c>
      <c r="BY4" s="80">
        <v>6</v>
      </c>
      <c r="BZ4" s="88">
        <v>-3</v>
      </c>
      <c r="CA4" s="88">
        <v>4</v>
      </c>
      <c r="CB4" s="88">
        <v>11</v>
      </c>
      <c r="CC4" s="88">
        <v>7</v>
      </c>
      <c r="CD4" s="80">
        <v>5</v>
      </c>
      <c r="CE4" s="80">
        <v>0</v>
      </c>
      <c r="CF4" s="80">
        <v>5</v>
      </c>
      <c r="CG4" s="89">
        <v>0</v>
      </c>
      <c r="CH4" s="80">
        <v>7</v>
      </c>
      <c r="CI4" s="80">
        <v>3</v>
      </c>
      <c r="CJ4" s="89">
        <v>3</v>
      </c>
      <c r="CK4" s="80">
        <v>2</v>
      </c>
      <c r="CL4" s="80">
        <v>8</v>
      </c>
      <c r="CM4" s="89">
        <v>6</v>
      </c>
      <c r="CN4" s="80">
        <v>2</v>
      </c>
      <c r="CO4" s="80">
        <v>0</v>
      </c>
      <c r="CP4" s="80">
        <v>0</v>
      </c>
      <c r="CQ4" s="80">
        <v>1</v>
      </c>
      <c r="CR4" s="80">
        <v>3</v>
      </c>
      <c r="CS4" s="80">
        <v>4</v>
      </c>
      <c r="CT4" s="90">
        <v>4</v>
      </c>
      <c r="CU4" s="80">
        <v>2</v>
      </c>
      <c r="CV4" s="80">
        <v>0</v>
      </c>
      <c r="CW4" s="80">
        <v>0</v>
      </c>
      <c r="CX4" s="80">
        <v>0</v>
      </c>
      <c r="CY4" s="80">
        <v>0</v>
      </c>
      <c r="CZ4" s="80">
        <v>8</v>
      </c>
      <c r="DA4" s="80">
        <v>2</v>
      </c>
      <c r="DB4" s="97" t="e">
        <f>COUNTIFS([2]Data!$CX$3:$CX$194,$A4,[2]Data!$AU$3:$AU$194,DB$2)</f>
        <v>#VALUE!</v>
      </c>
      <c r="DC4" s="98" t="e">
        <f>COUNTIFS([2]Data!$CX$3:$CX$194,$A4,[2]Data!$AU$3:$AU$194,DC$2)</f>
        <v>#VALUE!</v>
      </c>
      <c r="DD4" s="98" t="e">
        <f>COUNTIFS([2]Data!$CX$3:$CX$194,$A4,[2]Data!$AU$3:$AU$194,DD$2)</f>
        <v>#VALUE!</v>
      </c>
    </row>
    <row r="5" spans="1:108" s="41" customFormat="1" ht="16.2" thickBot="1" x14ac:dyDescent="0.35">
      <c r="A5" s="79" t="s">
        <v>120</v>
      </c>
      <c r="B5" s="93">
        <v>3</v>
      </c>
      <c r="C5" s="77" t="s">
        <v>110</v>
      </c>
      <c r="D5" s="99" t="s">
        <v>121</v>
      </c>
      <c r="E5" s="79"/>
      <c r="F5" s="79"/>
      <c r="G5" s="79" t="s">
        <v>112</v>
      </c>
      <c r="H5" s="79" t="s">
        <v>113</v>
      </c>
      <c r="I5" s="79" t="s">
        <v>113</v>
      </c>
      <c r="J5" s="79"/>
      <c r="K5" s="79" t="s">
        <v>122</v>
      </c>
      <c r="L5" s="79" t="s">
        <v>113</v>
      </c>
      <c r="M5" s="79" t="s">
        <v>113</v>
      </c>
      <c r="N5" s="79" t="s">
        <v>113</v>
      </c>
      <c r="O5" s="80">
        <v>9</v>
      </c>
      <c r="P5" s="80">
        <v>0</v>
      </c>
      <c r="Q5" s="80">
        <v>0</v>
      </c>
      <c r="R5" s="80">
        <v>4</v>
      </c>
      <c r="S5" s="80">
        <v>0</v>
      </c>
      <c r="T5" s="80">
        <v>3</v>
      </c>
      <c r="U5" s="81" t="s">
        <v>163</v>
      </c>
      <c r="V5" s="82" t="s">
        <v>114</v>
      </c>
      <c r="W5" s="83" t="s">
        <v>115</v>
      </c>
      <c r="X5" s="83"/>
      <c r="Y5" s="83" t="s">
        <v>115</v>
      </c>
      <c r="Z5" s="84" t="s">
        <v>115</v>
      </c>
      <c r="AA5" s="100"/>
      <c r="AB5" s="86" t="e">
        <v>#VALUE!</v>
      </c>
      <c r="AC5" s="37" t="e">
        <v>#VALUE!</v>
      </c>
      <c r="AD5" s="37" t="e">
        <v>#VALUE!</v>
      </c>
      <c r="AE5" s="37" t="e">
        <v>#VALUE!</v>
      </c>
      <c r="AF5" s="37" t="e">
        <v>#VALUE!</v>
      </c>
      <c r="AG5" s="37" t="e">
        <v>#VALUE!</v>
      </c>
      <c r="AH5" s="37" t="e">
        <v>#VALUE!</v>
      </c>
      <c r="AI5" s="37" t="e">
        <v>#VALUE!</v>
      </c>
      <c r="AJ5" s="37" t="e">
        <v>#VALUE!</v>
      </c>
      <c r="AK5" s="37">
        <v>1</v>
      </c>
      <c r="AL5" s="40" t="e">
        <v>#VALUE!</v>
      </c>
      <c r="AM5" s="40"/>
      <c r="AN5" s="40" t="e">
        <v>#VALUE!</v>
      </c>
      <c r="AO5" s="40" t="e">
        <v>#VALUE!</v>
      </c>
      <c r="AP5" s="40" t="e">
        <v>#VALUE!</v>
      </c>
      <c r="AQ5" s="40" t="e">
        <v>#VALUE!</v>
      </c>
      <c r="AR5" s="40" t="e">
        <v>#VALUE!</v>
      </c>
      <c r="AS5" s="40" t="e">
        <v>#VALUE!</v>
      </c>
      <c r="AT5" s="40" t="e">
        <v>#VALUE!</v>
      </c>
      <c r="AU5" s="40" t="e">
        <v>#VALUE!</v>
      </c>
      <c r="AV5" s="40" t="e">
        <v>#VALUE!</v>
      </c>
      <c r="AW5" s="40" t="e">
        <v>#VALUE!</v>
      </c>
      <c r="AX5" s="40" t="e">
        <v>#VALUE!</v>
      </c>
      <c r="AY5" s="96">
        <v>1</v>
      </c>
      <c r="AZ5" s="77">
        <v>7</v>
      </c>
      <c r="BA5" s="37">
        <v>7</v>
      </c>
      <c r="BB5" s="80">
        <v>7</v>
      </c>
      <c r="BC5" s="80">
        <v>0</v>
      </c>
      <c r="BD5" s="80">
        <v>0</v>
      </c>
      <c r="BE5" s="80">
        <v>0</v>
      </c>
      <c r="BF5" s="80">
        <v>0</v>
      </c>
      <c r="BG5" s="80">
        <v>0</v>
      </c>
      <c r="BH5" s="80">
        <v>0</v>
      </c>
      <c r="BI5" s="80">
        <v>1</v>
      </c>
      <c r="BJ5" s="80">
        <v>0</v>
      </c>
      <c r="BK5" s="80">
        <v>1</v>
      </c>
      <c r="BL5" s="80">
        <v>4</v>
      </c>
      <c r="BM5" s="80">
        <v>1</v>
      </c>
      <c r="BN5" s="88">
        <v>-4</v>
      </c>
      <c r="BO5" s="80">
        <v>0</v>
      </c>
      <c r="BP5" s="80">
        <v>2</v>
      </c>
      <c r="BQ5" s="80">
        <v>1</v>
      </c>
      <c r="BR5" s="80">
        <v>3</v>
      </c>
      <c r="BS5" s="80">
        <v>1</v>
      </c>
      <c r="BT5" s="88">
        <v>-2</v>
      </c>
      <c r="BU5" s="80">
        <v>0</v>
      </c>
      <c r="BV5" s="80">
        <v>1</v>
      </c>
      <c r="BW5" s="80">
        <v>1</v>
      </c>
      <c r="BX5" s="80">
        <v>5</v>
      </c>
      <c r="BY5" s="80">
        <v>0</v>
      </c>
      <c r="BZ5" s="88">
        <v>-4</v>
      </c>
      <c r="CA5" s="88">
        <v>3</v>
      </c>
      <c r="CB5" s="88">
        <v>9</v>
      </c>
      <c r="CC5" s="88">
        <v>6</v>
      </c>
      <c r="CD5" s="80">
        <v>3</v>
      </c>
      <c r="CE5" s="80">
        <v>0</v>
      </c>
      <c r="CF5" s="80">
        <v>4</v>
      </c>
      <c r="CG5" s="89">
        <v>1</v>
      </c>
      <c r="CH5" s="80">
        <v>5</v>
      </c>
      <c r="CI5" s="80">
        <v>2</v>
      </c>
      <c r="CJ5" s="89">
        <v>2</v>
      </c>
      <c r="CK5" s="80">
        <v>4</v>
      </c>
      <c r="CL5" s="80">
        <v>3</v>
      </c>
      <c r="CM5" s="89">
        <v>1</v>
      </c>
      <c r="CN5" s="80">
        <v>4</v>
      </c>
      <c r="CO5" s="80">
        <v>0</v>
      </c>
      <c r="CP5" s="80">
        <v>0</v>
      </c>
      <c r="CQ5" s="80">
        <v>0</v>
      </c>
      <c r="CR5" s="80">
        <v>0</v>
      </c>
      <c r="CS5" s="80">
        <v>3</v>
      </c>
      <c r="CT5" s="90">
        <v>2</v>
      </c>
      <c r="CU5" s="80">
        <v>4</v>
      </c>
      <c r="CV5" s="80">
        <v>0</v>
      </c>
      <c r="CW5" s="80">
        <v>0</v>
      </c>
      <c r="CX5" s="80">
        <v>0</v>
      </c>
      <c r="CY5" s="80">
        <v>3</v>
      </c>
      <c r="CZ5" s="80">
        <v>0</v>
      </c>
      <c r="DA5" s="80">
        <v>4</v>
      </c>
      <c r="DB5" s="91" t="e">
        <f>COUNTIFS([2]Data!$CX$3:$CX$194,$A5,[2]Data!$AU$3:$AU$194,DB$2)</f>
        <v>#VALUE!</v>
      </c>
      <c r="DC5" s="92" t="e">
        <f>COUNTIFS([2]Data!$CX$3:$CX$194,$A5,[2]Data!$AU$3:$AU$194,DC$2)</f>
        <v>#VALUE!</v>
      </c>
      <c r="DD5" s="92" t="e">
        <f>COUNTIFS([2]Data!$CX$3:$CX$194,$A5,[2]Data!$AU$3:$AU$194,DD$2)</f>
        <v>#VALUE!</v>
      </c>
    </row>
    <row r="6" spans="1:108" s="41" customFormat="1" ht="16.2" thickBot="1" x14ac:dyDescent="0.35">
      <c r="A6" s="79" t="s">
        <v>123</v>
      </c>
      <c r="B6" s="93">
        <v>4</v>
      </c>
      <c r="C6" s="77" t="s">
        <v>117</v>
      </c>
      <c r="D6" s="94" t="s">
        <v>118</v>
      </c>
      <c r="E6" s="79"/>
      <c r="F6" s="79"/>
      <c r="G6" s="79"/>
      <c r="H6" s="79" t="s">
        <v>113</v>
      </c>
      <c r="I6" s="79" t="s">
        <v>113</v>
      </c>
      <c r="J6" s="79" t="s">
        <v>113</v>
      </c>
      <c r="K6" s="79" t="s">
        <v>113</v>
      </c>
      <c r="L6" s="79" t="s">
        <v>113</v>
      </c>
      <c r="M6" s="79" t="s">
        <v>113</v>
      </c>
      <c r="N6" s="79" t="s">
        <v>113</v>
      </c>
      <c r="O6" s="80">
        <v>0</v>
      </c>
      <c r="P6" s="80">
        <v>0</v>
      </c>
      <c r="Q6" s="80">
        <v>0</v>
      </c>
      <c r="R6" s="80">
        <v>8</v>
      </c>
      <c r="S6" s="80">
        <v>0</v>
      </c>
      <c r="T6" s="80">
        <v>0</v>
      </c>
      <c r="U6" s="81" t="s">
        <v>164</v>
      </c>
      <c r="V6" s="82" t="s">
        <v>114</v>
      </c>
      <c r="W6" s="83" t="s">
        <v>115</v>
      </c>
      <c r="X6" s="83"/>
      <c r="Y6" s="83" t="s">
        <v>115</v>
      </c>
      <c r="Z6" s="84" t="s">
        <v>115</v>
      </c>
      <c r="AA6" s="100"/>
      <c r="AB6" s="86" t="e">
        <v>#VALUE!</v>
      </c>
      <c r="AC6" s="37" t="e">
        <v>#VALUE!</v>
      </c>
      <c r="AD6" s="37" t="e">
        <v>#VALUE!</v>
      </c>
      <c r="AE6" s="37" t="e">
        <v>#VALUE!</v>
      </c>
      <c r="AF6" s="37" t="e">
        <v>#VALUE!</v>
      </c>
      <c r="AG6" s="37" t="e">
        <v>#VALUE!</v>
      </c>
      <c r="AH6" s="37" t="e">
        <v>#VALUE!</v>
      </c>
      <c r="AI6" s="37" t="e">
        <v>#VALUE!</v>
      </c>
      <c r="AJ6" s="37" t="e">
        <v>#VALUE!</v>
      </c>
      <c r="AK6" s="37">
        <v>1</v>
      </c>
      <c r="AL6" s="40" t="e">
        <v>#VALUE!</v>
      </c>
      <c r="AM6" s="40"/>
      <c r="AN6" s="40" t="e">
        <v>#VALUE!</v>
      </c>
      <c r="AO6" s="40" t="e">
        <v>#VALUE!</v>
      </c>
      <c r="AP6" s="40" t="e">
        <v>#VALUE!</v>
      </c>
      <c r="AQ6" s="40" t="e">
        <v>#VALUE!</v>
      </c>
      <c r="AR6" s="40" t="e">
        <v>#VALUE!</v>
      </c>
      <c r="AS6" s="40" t="e">
        <v>#VALUE!</v>
      </c>
      <c r="AT6" s="40" t="e">
        <v>#VALUE!</v>
      </c>
      <c r="AU6" s="40" t="e">
        <v>#VALUE!</v>
      </c>
      <c r="AV6" s="40" t="e">
        <v>#VALUE!</v>
      </c>
      <c r="AW6" s="40" t="e">
        <v>#VALUE!</v>
      </c>
      <c r="AX6" s="40" t="e">
        <v>#VALUE!</v>
      </c>
      <c r="AY6" s="87">
        <v>1</v>
      </c>
      <c r="AZ6" s="77">
        <v>8</v>
      </c>
      <c r="BA6" s="37">
        <v>8</v>
      </c>
      <c r="BB6" s="80">
        <v>8</v>
      </c>
      <c r="BC6" s="80">
        <v>0</v>
      </c>
      <c r="BD6" s="80">
        <v>0</v>
      </c>
      <c r="BE6" s="80">
        <v>0</v>
      </c>
      <c r="BF6" s="80">
        <v>0</v>
      </c>
      <c r="BG6" s="80">
        <v>0</v>
      </c>
      <c r="BH6" s="80">
        <v>0</v>
      </c>
      <c r="BI6" s="80">
        <v>2</v>
      </c>
      <c r="BJ6" s="80">
        <v>1</v>
      </c>
      <c r="BK6" s="80">
        <v>1</v>
      </c>
      <c r="BL6" s="80">
        <v>3</v>
      </c>
      <c r="BM6" s="80">
        <v>1</v>
      </c>
      <c r="BN6" s="88">
        <v>-1</v>
      </c>
      <c r="BO6" s="80">
        <v>0</v>
      </c>
      <c r="BP6" s="80">
        <v>1</v>
      </c>
      <c r="BQ6" s="80">
        <v>3</v>
      </c>
      <c r="BR6" s="80">
        <v>4</v>
      </c>
      <c r="BS6" s="80">
        <v>0</v>
      </c>
      <c r="BT6" s="88">
        <v>-3</v>
      </c>
      <c r="BU6" s="80">
        <v>0</v>
      </c>
      <c r="BV6" s="80">
        <v>3</v>
      </c>
      <c r="BW6" s="80">
        <v>1</v>
      </c>
      <c r="BX6" s="80">
        <v>3</v>
      </c>
      <c r="BY6" s="80">
        <v>1</v>
      </c>
      <c r="BZ6" s="88">
        <v>-1</v>
      </c>
      <c r="CA6" s="88">
        <v>4</v>
      </c>
      <c r="CB6" s="88">
        <v>8</v>
      </c>
      <c r="CC6" s="88">
        <v>4</v>
      </c>
      <c r="CD6" s="80">
        <v>5</v>
      </c>
      <c r="CE6" s="80">
        <v>0</v>
      </c>
      <c r="CF6" s="80">
        <v>3</v>
      </c>
      <c r="CG6" s="89">
        <v>2</v>
      </c>
      <c r="CH6" s="80">
        <v>5</v>
      </c>
      <c r="CI6" s="80">
        <v>3</v>
      </c>
      <c r="CJ6" s="89">
        <v>3</v>
      </c>
      <c r="CK6" s="80">
        <v>5</v>
      </c>
      <c r="CL6" s="80">
        <v>3</v>
      </c>
      <c r="CM6" s="89">
        <v>2</v>
      </c>
      <c r="CN6" s="80">
        <v>5</v>
      </c>
      <c r="CO6" s="80">
        <v>0</v>
      </c>
      <c r="CP6" s="80">
        <v>0</v>
      </c>
      <c r="CQ6" s="80">
        <v>0</v>
      </c>
      <c r="CR6" s="80">
        <v>0</v>
      </c>
      <c r="CS6" s="80">
        <v>3</v>
      </c>
      <c r="CT6" s="90">
        <v>2</v>
      </c>
      <c r="CU6" s="80">
        <v>2</v>
      </c>
      <c r="CV6" s="80">
        <v>3</v>
      </c>
      <c r="CW6" s="80">
        <v>0</v>
      </c>
      <c r="CX6" s="80">
        <v>0</v>
      </c>
      <c r="CY6" s="80">
        <v>0</v>
      </c>
      <c r="CZ6" s="80">
        <v>3</v>
      </c>
      <c r="DA6" s="80">
        <v>5</v>
      </c>
      <c r="DB6" s="91" t="e">
        <f>COUNTIFS([2]Data!$CX$3:$CX$194,$A6,[2]Data!$AU$3:$AU$194,DB$2)</f>
        <v>#VALUE!</v>
      </c>
      <c r="DC6" s="92" t="e">
        <f>COUNTIFS([2]Data!$CX$3:$CX$194,$A6,[2]Data!$AU$3:$AU$194,DC$2)</f>
        <v>#VALUE!</v>
      </c>
      <c r="DD6" s="92" t="e">
        <f>COUNTIFS([2]Data!$CX$3:$CX$194,$A6,[2]Data!$AU$3:$AU$194,DD$2)</f>
        <v>#VALUE!</v>
      </c>
    </row>
    <row r="7" spans="1:108" s="41" customFormat="1" ht="16.2" thickBot="1" x14ac:dyDescent="0.35">
      <c r="A7" s="79" t="s">
        <v>124</v>
      </c>
      <c r="B7" s="93">
        <v>5</v>
      </c>
      <c r="C7" s="77" t="s">
        <v>117</v>
      </c>
      <c r="D7" s="94" t="s">
        <v>118</v>
      </c>
      <c r="E7" s="79"/>
      <c r="F7" s="79"/>
      <c r="G7" s="79"/>
      <c r="H7" s="79" t="s">
        <v>113</v>
      </c>
      <c r="I7" s="79"/>
      <c r="J7" s="79"/>
      <c r="K7" s="79" t="s">
        <v>125</v>
      </c>
      <c r="L7" s="79" t="s">
        <v>113</v>
      </c>
      <c r="M7" s="79"/>
      <c r="N7" s="79"/>
      <c r="O7" s="80">
        <v>6</v>
      </c>
      <c r="P7" s="80">
        <v>1</v>
      </c>
      <c r="Q7" s="80">
        <v>0</v>
      </c>
      <c r="R7" s="80"/>
      <c r="S7" s="80"/>
      <c r="T7" s="80"/>
      <c r="U7" s="81" t="s">
        <v>165</v>
      </c>
      <c r="V7" s="82" t="s">
        <v>114</v>
      </c>
      <c r="W7" s="83">
        <v>1</v>
      </c>
      <c r="X7" s="83"/>
      <c r="Y7" s="83" t="s">
        <v>115</v>
      </c>
      <c r="Z7" s="83"/>
      <c r="AA7" s="85"/>
      <c r="AB7" s="86" t="e">
        <v>#VALUE!</v>
      </c>
      <c r="AC7" s="37" t="e">
        <v>#VALUE!</v>
      </c>
      <c r="AD7" s="37" t="e">
        <v>#VALUE!</v>
      </c>
      <c r="AE7" s="37" t="e">
        <v>#VALUE!</v>
      </c>
      <c r="AF7" s="37" t="e">
        <v>#VALUE!</v>
      </c>
      <c r="AG7" s="37" t="e">
        <v>#VALUE!</v>
      </c>
      <c r="AH7" s="37" t="e">
        <v>#VALUE!</v>
      </c>
      <c r="AI7" s="37" t="e">
        <v>#VALUE!</v>
      </c>
      <c r="AJ7" s="37" t="e">
        <v>#VALUE!</v>
      </c>
      <c r="AK7" s="37">
        <v>1</v>
      </c>
      <c r="AL7" s="40" t="e">
        <v>#VALUE!</v>
      </c>
      <c r="AM7" s="40"/>
      <c r="AN7" s="40" t="e">
        <v>#VALUE!</v>
      </c>
      <c r="AO7" s="40" t="e">
        <v>#VALUE!</v>
      </c>
      <c r="AP7" s="40" t="e">
        <v>#VALUE!</v>
      </c>
      <c r="AQ7" s="40" t="e">
        <v>#VALUE!</v>
      </c>
      <c r="AR7" s="40" t="e">
        <v>#VALUE!</v>
      </c>
      <c r="AS7" s="40" t="e">
        <v>#VALUE!</v>
      </c>
      <c r="AT7" s="40" t="e">
        <v>#VALUE!</v>
      </c>
      <c r="AU7" s="40" t="e">
        <v>#VALUE!</v>
      </c>
      <c r="AV7" s="40" t="e">
        <v>#VALUE!</v>
      </c>
      <c r="AW7" s="40" t="e">
        <v>#VALUE!</v>
      </c>
      <c r="AX7" s="40" t="e">
        <v>#VALUE!</v>
      </c>
      <c r="AY7" s="96">
        <v>1</v>
      </c>
      <c r="AZ7" s="77">
        <v>7</v>
      </c>
      <c r="BA7" s="37">
        <v>7</v>
      </c>
      <c r="BB7" s="80">
        <v>7</v>
      </c>
      <c r="BC7" s="80">
        <v>0</v>
      </c>
      <c r="BD7" s="80">
        <v>0</v>
      </c>
      <c r="BE7" s="80">
        <v>0</v>
      </c>
      <c r="BF7" s="80">
        <v>0</v>
      </c>
      <c r="BG7" s="80">
        <v>0</v>
      </c>
      <c r="BH7" s="80">
        <v>1</v>
      </c>
      <c r="BI7" s="80">
        <v>2</v>
      </c>
      <c r="BJ7" s="80">
        <v>0</v>
      </c>
      <c r="BK7" s="80">
        <v>1</v>
      </c>
      <c r="BL7" s="80">
        <v>1</v>
      </c>
      <c r="BM7" s="80">
        <v>1</v>
      </c>
      <c r="BN7" s="88">
        <v>0</v>
      </c>
      <c r="BO7" s="80">
        <v>0</v>
      </c>
      <c r="BP7" s="80">
        <v>2</v>
      </c>
      <c r="BQ7" s="80">
        <v>0</v>
      </c>
      <c r="BR7" s="80">
        <v>0</v>
      </c>
      <c r="BS7" s="80">
        <v>0</v>
      </c>
      <c r="BT7" s="88">
        <v>2</v>
      </c>
      <c r="BU7" s="80">
        <v>1</v>
      </c>
      <c r="BV7" s="80">
        <v>1</v>
      </c>
      <c r="BW7" s="80">
        <v>0</v>
      </c>
      <c r="BX7" s="80">
        <v>0</v>
      </c>
      <c r="BY7" s="80">
        <v>0</v>
      </c>
      <c r="BZ7" s="88">
        <v>2</v>
      </c>
      <c r="CA7" s="88">
        <v>4</v>
      </c>
      <c r="CB7" s="88">
        <v>0</v>
      </c>
      <c r="CC7" s="88">
        <v>-4</v>
      </c>
      <c r="CD7" s="80">
        <v>6</v>
      </c>
      <c r="CE7" s="80">
        <v>0</v>
      </c>
      <c r="CF7" s="80">
        <v>0</v>
      </c>
      <c r="CG7" s="89">
        <v>6</v>
      </c>
      <c r="CH7" s="80">
        <v>5</v>
      </c>
      <c r="CI7" s="80">
        <v>1</v>
      </c>
      <c r="CJ7" s="89">
        <v>1</v>
      </c>
      <c r="CK7" s="80">
        <v>2</v>
      </c>
      <c r="CL7" s="80">
        <v>4</v>
      </c>
      <c r="CM7" s="89">
        <v>2</v>
      </c>
      <c r="CN7" s="80">
        <v>2</v>
      </c>
      <c r="CO7" s="80">
        <v>0</v>
      </c>
      <c r="CP7" s="80">
        <v>0</v>
      </c>
      <c r="CQ7" s="80">
        <v>0</v>
      </c>
      <c r="CR7" s="80">
        <v>3</v>
      </c>
      <c r="CS7" s="80">
        <v>1</v>
      </c>
      <c r="CT7" s="90">
        <v>3</v>
      </c>
      <c r="CU7" s="80">
        <v>1</v>
      </c>
      <c r="CV7" s="80">
        <v>0</v>
      </c>
      <c r="CW7" s="80">
        <v>1</v>
      </c>
      <c r="CX7" s="80">
        <v>0</v>
      </c>
      <c r="CY7" s="80">
        <v>0</v>
      </c>
      <c r="CZ7" s="80">
        <v>4</v>
      </c>
      <c r="DA7" s="80">
        <v>2</v>
      </c>
      <c r="DB7" s="97" t="e">
        <f>COUNTIFS([2]Data!$CX$3:$CX$194,$A7,[2]Data!$AU$3:$AU$194,DB$2)</f>
        <v>#VALUE!</v>
      </c>
      <c r="DC7" s="98" t="e">
        <f>COUNTIFS([2]Data!$CX$3:$CX$194,$A7,[2]Data!$AU$3:$AU$194,DC$2)</f>
        <v>#VALUE!</v>
      </c>
      <c r="DD7" s="98" t="e">
        <f>COUNTIFS([2]Data!$CX$3:$CX$194,$A7,[2]Data!$AU$3:$AU$194,DD$2)</f>
        <v>#VALUE!</v>
      </c>
    </row>
    <row r="8" spans="1:108" s="41" customFormat="1" ht="16.2" thickBot="1" x14ac:dyDescent="0.35">
      <c r="A8" s="79" t="s">
        <v>126</v>
      </c>
      <c r="B8" s="93">
        <v>5</v>
      </c>
      <c r="C8" s="77" t="s">
        <v>117</v>
      </c>
      <c r="D8" s="94" t="s">
        <v>118</v>
      </c>
      <c r="E8" s="79"/>
      <c r="F8" s="79"/>
      <c r="G8" s="79"/>
      <c r="H8" s="79" t="s">
        <v>113</v>
      </c>
      <c r="I8" s="79" t="s">
        <v>113</v>
      </c>
      <c r="J8" s="79"/>
      <c r="K8" s="79" t="s">
        <v>113</v>
      </c>
      <c r="L8" s="79" t="s">
        <v>113</v>
      </c>
      <c r="M8" s="79" t="s">
        <v>113</v>
      </c>
      <c r="N8" s="79" t="s">
        <v>113</v>
      </c>
      <c r="O8" s="80">
        <v>0</v>
      </c>
      <c r="P8" s="80">
        <v>0</v>
      </c>
      <c r="Q8" s="80">
        <v>0</v>
      </c>
      <c r="R8" s="80">
        <v>4</v>
      </c>
      <c r="S8" s="80">
        <v>0</v>
      </c>
      <c r="T8" s="80">
        <v>3</v>
      </c>
      <c r="U8" s="81" t="s">
        <v>165</v>
      </c>
      <c r="V8" s="82" t="s">
        <v>114</v>
      </c>
      <c r="W8" s="83">
        <v>1</v>
      </c>
      <c r="X8" s="83"/>
      <c r="Y8" s="83" t="s">
        <v>115</v>
      </c>
      <c r="Z8" s="83"/>
      <c r="AA8" s="85"/>
      <c r="AB8" s="86" t="e">
        <v>#VALUE!</v>
      </c>
      <c r="AC8" s="37" t="e">
        <v>#VALUE!</v>
      </c>
      <c r="AD8" s="37" t="e">
        <v>#VALUE!</v>
      </c>
      <c r="AE8" s="37" t="e">
        <v>#VALUE!</v>
      </c>
      <c r="AF8" s="37" t="e">
        <v>#VALUE!</v>
      </c>
      <c r="AG8" s="37" t="e">
        <v>#VALUE!</v>
      </c>
      <c r="AH8" s="37" t="e">
        <v>#VALUE!</v>
      </c>
      <c r="AI8" s="37" t="e">
        <v>#VALUE!</v>
      </c>
      <c r="AJ8" s="37" t="e">
        <v>#VALUE!</v>
      </c>
      <c r="AK8" s="37">
        <v>1</v>
      </c>
      <c r="AL8" s="40" t="e">
        <v>#VALUE!</v>
      </c>
      <c r="AM8" s="40"/>
      <c r="AN8" s="40" t="e">
        <v>#VALUE!</v>
      </c>
      <c r="AO8" s="40" t="e">
        <v>#VALUE!</v>
      </c>
      <c r="AP8" s="40" t="e">
        <v>#VALUE!</v>
      </c>
      <c r="AQ8" s="40" t="e">
        <v>#VALUE!</v>
      </c>
      <c r="AR8" s="40" t="e">
        <v>#VALUE!</v>
      </c>
      <c r="AS8" s="40" t="e">
        <v>#VALUE!</v>
      </c>
      <c r="AT8" s="40" t="e">
        <v>#VALUE!</v>
      </c>
      <c r="AU8" s="40" t="e">
        <v>#VALUE!</v>
      </c>
      <c r="AV8" s="40" t="e">
        <v>#VALUE!</v>
      </c>
      <c r="AW8" s="40" t="e">
        <v>#VALUE!</v>
      </c>
      <c r="AX8" s="40" t="e">
        <v>#VALUE!</v>
      </c>
      <c r="AY8" s="96">
        <v>1</v>
      </c>
      <c r="AZ8" s="77">
        <v>9</v>
      </c>
      <c r="BA8" s="37">
        <v>8</v>
      </c>
      <c r="BB8" s="80">
        <v>8</v>
      </c>
      <c r="BC8" s="80">
        <v>0</v>
      </c>
      <c r="BD8" s="80">
        <v>0</v>
      </c>
      <c r="BE8" s="80">
        <v>0</v>
      </c>
      <c r="BF8" s="80">
        <v>0</v>
      </c>
      <c r="BG8" s="80">
        <v>1</v>
      </c>
      <c r="BH8" s="80">
        <v>1</v>
      </c>
      <c r="BI8" s="80">
        <v>1</v>
      </c>
      <c r="BJ8" s="80">
        <v>0</v>
      </c>
      <c r="BK8" s="80">
        <v>2</v>
      </c>
      <c r="BL8" s="80">
        <v>5</v>
      </c>
      <c r="BM8" s="80">
        <v>0</v>
      </c>
      <c r="BN8" s="88">
        <v>-4</v>
      </c>
      <c r="BO8" s="80">
        <v>1</v>
      </c>
      <c r="BP8" s="80">
        <v>1</v>
      </c>
      <c r="BQ8" s="80">
        <v>2</v>
      </c>
      <c r="BR8" s="80">
        <v>1</v>
      </c>
      <c r="BS8" s="80">
        <v>3</v>
      </c>
      <c r="BT8" s="88">
        <v>-2</v>
      </c>
      <c r="BU8" s="80">
        <v>0</v>
      </c>
      <c r="BV8" s="80">
        <v>4</v>
      </c>
      <c r="BW8" s="80">
        <v>1</v>
      </c>
      <c r="BX8" s="80">
        <v>2</v>
      </c>
      <c r="BY8" s="80">
        <v>1</v>
      </c>
      <c r="BZ8" s="88">
        <v>1</v>
      </c>
      <c r="CA8" s="88">
        <v>6</v>
      </c>
      <c r="CB8" s="88">
        <v>7</v>
      </c>
      <c r="CC8" s="88">
        <v>1</v>
      </c>
      <c r="CD8" s="80">
        <v>6</v>
      </c>
      <c r="CE8" s="80">
        <v>0</v>
      </c>
      <c r="CF8" s="80">
        <v>3</v>
      </c>
      <c r="CG8" s="89">
        <v>3</v>
      </c>
      <c r="CH8" s="80">
        <v>8</v>
      </c>
      <c r="CI8" s="80">
        <v>1</v>
      </c>
      <c r="CJ8" s="89">
        <v>1</v>
      </c>
      <c r="CK8" s="80">
        <v>4</v>
      </c>
      <c r="CL8" s="80">
        <v>5</v>
      </c>
      <c r="CM8" s="89">
        <v>1</v>
      </c>
      <c r="CN8" s="80">
        <v>4</v>
      </c>
      <c r="CO8" s="80">
        <v>0</v>
      </c>
      <c r="CP8" s="80">
        <v>2</v>
      </c>
      <c r="CQ8" s="80">
        <v>0</v>
      </c>
      <c r="CR8" s="80">
        <v>0</v>
      </c>
      <c r="CS8" s="80">
        <v>3</v>
      </c>
      <c r="CT8" s="90">
        <v>3</v>
      </c>
      <c r="CU8" s="80">
        <v>1</v>
      </c>
      <c r="CV8" s="80">
        <v>3</v>
      </c>
      <c r="CW8" s="80">
        <v>0</v>
      </c>
      <c r="CX8" s="80">
        <v>0</v>
      </c>
      <c r="CY8" s="80">
        <v>0</v>
      </c>
      <c r="CZ8" s="80">
        <v>6</v>
      </c>
      <c r="DA8" s="80">
        <v>3</v>
      </c>
      <c r="DB8" s="97"/>
      <c r="DC8" s="98"/>
      <c r="DD8" s="98"/>
    </row>
    <row r="9" spans="1:108" s="41" customFormat="1" ht="16.2" thickBot="1" x14ac:dyDescent="0.35">
      <c r="A9" s="75" t="s">
        <v>127</v>
      </c>
      <c r="B9" s="93">
        <v>6</v>
      </c>
      <c r="C9" s="77" t="s">
        <v>110</v>
      </c>
      <c r="D9" s="78" t="s">
        <v>128</v>
      </c>
      <c r="E9" s="79"/>
      <c r="F9" s="79"/>
      <c r="G9" s="79" t="s">
        <v>112</v>
      </c>
      <c r="H9" s="79" t="s">
        <v>113</v>
      </c>
      <c r="I9" s="79" t="s">
        <v>113</v>
      </c>
      <c r="J9" s="79"/>
      <c r="K9" s="79" t="s">
        <v>113</v>
      </c>
      <c r="L9" s="79" t="s">
        <v>113</v>
      </c>
      <c r="M9" s="79" t="s">
        <v>113</v>
      </c>
      <c r="N9" s="79" t="s">
        <v>113</v>
      </c>
      <c r="O9" s="80">
        <v>8</v>
      </c>
      <c r="P9" s="80">
        <v>0</v>
      </c>
      <c r="Q9" s="80">
        <v>1</v>
      </c>
      <c r="R9" s="80">
        <v>5</v>
      </c>
      <c r="S9" s="80">
        <v>1</v>
      </c>
      <c r="T9" s="80">
        <v>3</v>
      </c>
      <c r="U9" s="81" t="s">
        <v>166</v>
      </c>
      <c r="V9" s="82"/>
      <c r="W9" s="75" t="s">
        <v>115</v>
      </c>
      <c r="X9" s="83"/>
      <c r="Y9" s="83" t="s">
        <v>115</v>
      </c>
      <c r="Z9" s="84" t="s">
        <v>115</v>
      </c>
      <c r="AA9" s="85"/>
      <c r="AB9" s="86" t="e">
        <v>#VALUE!</v>
      </c>
      <c r="AC9" s="37" t="e">
        <v>#VALUE!</v>
      </c>
      <c r="AD9" s="37" t="e">
        <v>#VALUE!</v>
      </c>
      <c r="AE9" s="37" t="e">
        <v>#VALUE!</v>
      </c>
      <c r="AF9" s="37" t="e">
        <v>#VALUE!</v>
      </c>
      <c r="AG9" s="37" t="e">
        <v>#VALUE!</v>
      </c>
      <c r="AH9" s="37" t="e">
        <v>#VALUE!</v>
      </c>
      <c r="AI9" s="37" t="e">
        <v>#VALUE!</v>
      </c>
      <c r="AJ9" s="37" t="e">
        <v>#VALUE!</v>
      </c>
      <c r="AK9" s="37">
        <v>1</v>
      </c>
      <c r="AL9" s="40" t="e">
        <v>#VALUE!</v>
      </c>
      <c r="AM9" s="40"/>
      <c r="AN9" s="40" t="e">
        <v>#VALUE!</v>
      </c>
      <c r="AO9" s="40" t="e">
        <v>#VALUE!</v>
      </c>
      <c r="AP9" s="40" t="e">
        <v>#VALUE!</v>
      </c>
      <c r="AQ9" s="40" t="e">
        <v>#VALUE!</v>
      </c>
      <c r="AR9" s="40" t="e">
        <v>#VALUE!</v>
      </c>
      <c r="AS9" s="40" t="e">
        <v>#VALUE!</v>
      </c>
      <c r="AT9" s="40" t="e">
        <v>#VALUE!</v>
      </c>
      <c r="AU9" s="40" t="e">
        <v>#VALUE!</v>
      </c>
      <c r="AV9" s="40" t="e">
        <v>#VALUE!</v>
      </c>
      <c r="AW9" s="40" t="e">
        <v>#VALUE!</v>
      </c>
      <c r="AX9" s="40" t="e">
        <v>#VALUE!</v>
      </c>
      <c r="AY9" s="87">
        <v>1</v>
      </c>
      <c r="AZ9" s="77">
        <v>9</v>
      </c>
      <c r="BA9" s="37">
        <v>9</v>
      </c>
      <c r="BB9" s="80">
        <v>9</v>
      </c>
      <c r="BC9" s="80">
        <v>0</v>
      </c>
      <c r="BD9" s="80">
        <v>0</v>
      </c>
      <c r="BE9" s="80">
        <v>0</v>
      </c>
      <c r="BF9" s="80">
        <v>0</v>
      </c>
      <c r="BG9" s="80">
        <v>0</v>
      </c>
      <c r="BH9" s="80">
        <v>0</v>
      </c>
      <c r="BI9" s="80">
        <v>2</v>
      </c>
      <c r="BJ9" s="80">
        <v>0</v>
      </c>
      <c r="BK9" s="80">
        <v>1</v>
      </c>
      <c r="BL9" s="80">
        <v>1</v>
      </c>
      <c r="BM9" s="80">
        <v>5</v>
      </c>
      <c r="BN9" s="88">
        <v>-4</v>
      </c>
      <c r="BO9" s="80">
        <v>0</v>
      </c>
      <c r="BP9" s="80">
        <v>1</v>
      </c>
      <c r="BQ9" s="80">
        <v>1</v>
      </c>
      <c r="BR9" s="80">
        <v>4</v>
      </c>
      <c r="BS9" s="80">
        <v>3</v>
      </c>
      <c r="BT9" s="88">
        <v>-6</v>
      </c>
      <c r="BU9" s="80">
        <v>0</v>
      </c>
      <c r="BV9" s="80">
        <v>4</v>
      </c>
      <c r="BW9" s="80">
        <v>3</v>
      </c>
      <c r="BX9" s="80">
        <v>1</v>
      </c>
      <c r="BY9" s="80">
        <v>1</v>
      </c>
      <c r="BZ9" s="88">
        <v>2</v>
      </c>
      <c r="CA9" s="88">
        <v>5</v>
      </c>
      <c r="CB9" s="88">
        <v>9</v>
      </c>
      <c r="CC9" s="88">
        <v>4</v>
      </c>
      <c r="CD9" s="80">
        <v>3</v>
      </c>
      <c r="CE9" s="80">
        <v>0</v>
      </c>
      <c r="CF9" s="80">
        <v>6</v>
      </c>
      <c r="CG9" s="89">
        <v>3</v>
      </c>
      <c r="CH9" s="80">
        <v>7</v>
      </c>
      <c r="CI9" s="80">
        <v>2</v>
      </c>
      <c r="CJ9" s="89">
        <v>2</v>
      </c>
      <c r="CK9" s="80">
        <v>6</v>
      </c>
      <c r="CL9" s="80">
        <v>3</v>
      </c>
      <c r="CM9" s="89">
        <v>3</v>
      </c>
      <c r="CN9" s="80">
        <v>6</v>
      </c>
      <c r="CO9" s="80">
        <v>1</v>
      </c>
      <c r="CP9" s="80">
        <v>1</v>
      </c>
      <c r="CQ9" s="80">
        <v>0</v>
      </c>
      <c r="CR9" s="80">
        <v>1</v>
      </c>
      <c r="CS9" s="80">
        <v>0</v>
      </c>
      <c r="CT9" s="90">
        <v>4</v>
      </c>
      <c r="CU9" s="80">
        <v>5</v>
      </c>
      <c r="CV9" s="80">
        <v>1</v>
      </c>
      <c r="CW9" s="80">
        <v>0</v>
      </c>
      <c r="CX9" s="80">
        <v>0</v>
      </c>
      <c r="CY9" s="80">
        <v>5</v>
      </c>
      <c r="CZ9" s="80">
        <v>0</v>
      </c>
      <c r="DA9" s="80">
        <v>4</v>
      </c>
      <c r="DB9" s="97" t="e">
        <f>COUNTIFS([2]Data!$CX$3:$CX$194,$A9,[2]Data!$AU$3:$AU$194,DB$2)</f>
        <v>#VALUE!</v>
      </c>
      <c r="DC9" s="98" t="e">
        <f>COUNTIFS([2]Data!$CX$3:$CX$194,$A9,[2]Data!$AU$3:$AU$194,DC$2)</f>
        <v>#VALUE!</v>
      </c>
      <c r="DD9" s="98" t="e">
        <f>COUNTIFS([2]Data!$CX$3:$CX$194,$A9,[2]Data!$AU$3:$AU$194,DD$2)</f>
        <v>#VALUE!</v>
      </c>
    </row>
    <row r="10" spans="1:108" s="41" customFormat="1" ht="16.2" thickBot="1" x14ac:dyDescent="0.35">
      <c r="A10" s="75" t="s">
        <v>129</v>
      </c>
      <c r="B10" s="76">
        <v>7</v>
      </c>
      <c r="C10" s="77" t="s">
        <v>110</v>
      </c>
      <c r="D10" s="78" t="s">
        <v>130</v>
      </c>
      <c r="E10" s="79"/>
      <c r="F10" s="79"/>
      <c r="G10" s="79" t="s">
        <v>131</v>
      </c>
      <c r="H10" s="79" t="s">
        <v>113</v>
      </c>
      <c r="I10" s="79" t="s">
        <v>113</v>
      </c>
      <c r="J10" s="79"/>
      <c r="K10" s="79" t="s">
        <v>113</v>
      </c>
      <c r="L10" s="79" t="s">
        <v>113</v>
      </c>
      <c r="M10" s="79" t="s">
        <v>113</v>
      </c>
      <c r="N10" s="79" t="s">
        <v>113</v>
      </c>
      <c r="O10" s="80">
        <v>0</v>
      </c>
      <c r="P10" s="80">
        <v>0</v>
      </c>
      <c r="Q10" s="80">
        <v>0</v>
      </c>
      <c r="R10" s="80">
        <v>6</v>
      </c>
      <c r="S10" s="80">
        <v>1</v>
      </c>
      <c r="T10" s="80">
        <v>0</v>
      </c>
      <c r="U10" s="81" t="s">
        <v>167</v>
      </c>
      <c r="V10" s="82"/>
      <c r="W10" s="83" t="s">
        <v>132</v>
      </c>
      <c r="X10" s="83"/>
      <c r="Y10" s="83" t="s">
        <v>115</v>
      </c>
      <c r="Z10" s="83" t="s">
        <v>115</v>
      </c>
      <c r="AA10" s="85"/>
      <c r="AB10" s="86" t="e">
        <v>#VALUE!</v>
      </c>
      <c r="AC10" s="37" t="e">
        <v>#VALUE!</v>
      </c>
      <c r="AD10" s="37" t="e">
        <v>#VALUE!</v>
      </c>
      <c r="AE10" s="37" t="e">
        <v>#VALUE!</v>
      </c>
      <c r="AF10" s="37" t="e">
        <v>#VALUE!</v>
      </c>
      <c r="AG10" s="37" t="e">
        <v>#VALUE!</v>
      </c>
      <c r="AH10" s="37" t="e">
        <v>#VALUE!</v>
      </c>
      <c r="AI10" s="37" t="e">
        <v>#VALUE!</v>
      </c>
      <c r="AJ10" s="37" t="e">
        <v>#VALUE!</v>
      </c>
      <c r="AK10" s="37">
        <v>1</v>
      </c>
      <c r="AL10" s="40" t="e">
        <v>#VALUE!</v>
      </c>
      <c r="AM10" s="40"/>
      <c r="AN10" s="40" t="e">
        <v>#VALUE!</v>
      </c>
      <c r="AO10" s="40" t="e">
        <v>#VALUE!</v>
      </c>
      <c r="AP10" s="40" t="e">
        <v>#VALUE!</v>
      </c>
      <c r="AQ10" s="40" t="e">
        <v>#VALUE!</v>
      </c>
      <c r="AR10" s="40" t="e">
        <v>#VALUE!</v>
      </c>
      <c r="AS10" s="40" t="e">
        <v>#VALUE!</v>
      </c>
      <c r="AT10" s="40" t="e">
        <v>#VALUE!</v>
      </c>
      <c r="AU10" s="40" t="e">
        <v>#VALUE!</v>
      </c>
      <c r="AV10" s="40" t="e">
        <v>#VALUE!</v>
      </c>
      <c r="AW10" s="40" t="e">
        <v>#VALUE!</v>
      </c>
      <c r="AX10" s="40" t="e">
        <v>#VALUE!</v>
      </c>
      <c r="AY10" s="96">
        <v>1</v>
      </c>
      <c r="AZ10" s="77">
        <v>8</v>
      </c>
      <c r="BA10" s="37">
        <v>8</v>
      </c>
      <c r="BB10" s="80">
        <v>8</v>
      </c>
      <c r="BC10" s="80">
        <v>0</v>
      </c>
      <c r="BD10" s="80">
        <v>0</v>
      </c>
      <c r="BE10" s="80">
        <v>0</v>
      </c>
      <c r="BF10" s="80">
        <v>0</v>
      </c>
      <c r="BG10" s="80">
        <v>0</v>
      </c>
      <c r="BH10" s="80">
        <v>0</v>
      </c>
      <c r="BI10" s="80">
        <v>1</v>
      </c>
      <c r="BJ10" s="80">
        <v>1</v>
      </c>
      <c r="BK10" s="80">
        <v>1</v>
      </c>
      <c r="BL10" s="80">
        <v>2</v>
      </c>
      <c r="BM10" s="80">
        <v>3</v>
      </c>
      <c r="BN10" s="88">
        <v>-3</v>
      </c>
      <c r="BO10" s="80">
        <v>1</v>
      </c>
      <c r="BP10" s="80">
        <v>3</v>
      </c>
      <c r="BQ10" s="80">
        <v>1</v>
      </c>
      <c r="BR10" s="80">
        <v>3</v>
      </c>
      <c r="BS10" s="80">
        <v>0</v>
      </c>
      <c r="BT10" s="88">
        <v>1</v>
      </c>
      <c r="BU10" s="80">
        <v>0</v>
      </c>
      <c r="BV10" s="80">
        <v>3</v>
      </c>
      <c r="BW10" s="80">
        <v>1</v>
      </c>
      <c r="BX10" s="80">
        <v>3</v>
      </c>
      <c r="BY10" s="80">
        <v>1</v>
      </c>
      <c r="BZ10" s="88">
        <v>-1</v>
      </c>
      <c r="CA10" s="88">
        <v>7</v>
      </c>
      <c r="CB10" s="88">
        <v>7</v>
      </c>
      <c r="CC10" s="88">
        <v>0</v>
      </c>
      <c r="CD10" s="80">
        <v>4</v>
      </c>
      <c r="CE10" s="80">
        <v>0</v>
      </c>
      <c r="CF10" s="80">
        <v>4</v>
      </c>
      <c r="CG10" s="89">
        <v>0</v>
      </c>
      <c r="CH10" s="80">
        <v>7</v>
      </c>
      <c r="CI10" s="80">
        <v>1</v>
      </c>
      <c r="CJ10" s="89">
        <v>1</v>
      </c>
      <c r="CK10" s="80">
        <v>6</v>
      </c>
      <c r="CL10" s="80">
        <v>2</v>
      </c>
      <c r="CM10" s="89">
        <v>4</v>
      </c>
      <c r="CN10" s="80">
        <v>6</v>
      </c>
      <c r="CO10" s="80">
        <v>0</v>
      </c>
      <c r="CP10" s="80">
        <v>0</v>
      </c>
      <c r="CQ10" s="80">
        <v>0</v>
      </c>
      <c r="CR10" s="80">
        <v>2</v>
      </c>
      <c r="CS10" s="80">
        <v>0</v>
      </c>
      <c r="CT10" s="90">
        <v>2</v>
      </c>
      <c r="CU10" s="80">
        <v>2</v>
      </c>
      <c r="CV10" s="80">
        <v>1</v>
      </c>
      <c r="CW10" s="80">
        <v>3</v>
      </c>
      <c r="CX10" s="80">
        <v>0</v>
      </c>
      <c r="CY10" s="80">
        <v>2</v>
      </c>
      <c r="CZ10" s="80">
        <v>0</v>
      </c>
      <c r="DA10" s="80">
        <v>6</v>
      </c>
      <c r="DB10" s="97" t="e">
        <f>COUNTIFS([2]Data!$CX$3:$CX$194,$A10,[2]Data!$AU$3:$AU$194,DB$2)</f>
        <v>#VALUE!</v>
      </c>
      <c r="DC10" s="98" t="e">
        <f>COUNTIFS([2]Data!$CX$3:$CX$194,$A10,[2]Data!$AU$3:$AU$194,DC$2)</f>
        <v>#VALUE!</v>
      </c>
      <c r="DD10" s="98" t="e">
        <f>COUNTIFS([2]Data!$CX$3:$CX$194,$A10,[2]Data!$AU$3:$AU$194,DD$2)</f>
        <v>#VALUE!</v>
      </c>
    </row>
    <row r="11" spans="1:108" s="41" customFormat="1" ht="16.2" thickBot="1" x14ac:dyDescent="0.35">
      <c r="A11" s="79" t="s">
        <v>133</v>
      </c>
      <c r="B11" s="93">
        <v>8</v>
      </c>
      <c r="C11" s="77" t="s">
        <v>110</v>
      </c>
      <c r="D11" s="78" t="s">
        <v>134</v>
      </c>
      <c r="E11" s="79"/>
      <c r="F11" s="79"/>
      <c r="G11" s="79" t="s">
        <v>112</v>
      </c>
      <c r="H11" s="79" t="s">
        <v>113</v>
      </c>
      <c r="I11" s="79" t="s">
        <v>113</v>
      </c>
      <c r="J11" s="79"/>
      <c r="K11" s="79" t="s">
        <v>135</v>
      </c>
      <c r="L11" s="79" t="s">
        <v>113</v>
      </c>
      <c r="M11" s="79" t="s">
        <v>122</v>
      </c>
      <c r="N11" s="79" t="s">
        <v>122</v>
      </c>
      <c r="O11" s="80">
        <v>7</v>
      </c>
      <c r="P11" s="80">
        <v>0</v>
      </c>
      <c r="Q11" s="80">
        <v>1</v>
      </c>
      <c r="R11" s="80">
        <v>5</v>
      </c>
      <c r="S11" s="80">
        <v>0</v>
      </c>
      <c r="T11" s="80">
        <v>3</v>
      </c>
      <c r="U11" s="81" t="s">
        <v>167</v>
      </c>
      <c r="V11" s="82"/>
      <c r="W11" s="83" t="s">
        <v>136</v>
      </c>
      <c r="X11" s="83"/>
      <c r="Y11" s="83" t="s">
        <v>137</v>
      </c>
      <c r="Z11" s="84" t="s">
        <v>115</v>
      </c>
      <c r="AA11" s="100"/>
      <c r="AB11" s="86" t="e">
        <v>#VALUE!</v>
      </c>
      <c r="AC11" s="37" t="e">
        <v>#VALUE!</v>
      </c>
      <c r="AD11" s="37" t="e">
        <v>#VALUE!</v>
      </c>
      <c r="AE11" s="37" t="e">
        <v>#VALUE!</v>
      </c>
      <c r="AF11" s="37" t="e">
        <v>#VALUE!</v>
      </c>
      <c r="AG11" s="37" t="e">
        <v>#VALUE!</v>
      </c>
      <c r="AH11" s="37" t="e">
        <v>#VALUE!</v>
      </c>
      <c r="AI11" s="37" t="e">
        <v>#VALUE!</v>
      </c>
      <c r="AJ11" s="37" t="e">
        <v>#VALUE!</v>
      </c>
      <c r="AK11" s="37">
        <v>1</v>
      </c>
      <c r="AL11" s="40" t="e">
        <v>#VALUE!</v>
      </c>
      <c r="AM11" s="40"/>
      <c r="AN11" s="40" t="e">
        <v>#VALUE!</v>
      </c>
      <c r="AO11" s="40" t="e">
        <v>#VALUE!</v>
      </c>
      <c r="AP11" s="40" t="e">
        <v>#VALUE!</v>
      </c>
      <c r="AQ11" s="40" t="e">
        <v>#VALUE!</v>
      </c>
      <c r="AR11" s="40" t="e">
        <v>#VALUE!</v>
      </c>
      <c r="AS11" s="40" t="e">
        <v>#VALUE!</v>
      </c>
      <c r="AT11" s="40" t="e">
        <v>#VALUE!</v>
      </c>
      <c r="AU11" s="40" t="e">
        <v>#VALUE!</v>
      </c>
      <c r="AV11" s="40" t="e">
        <v>#VALUE!</v>
      </c>
      <c r="AW11" s="40" t="e">
        <v>#VALUE!</v>
      </c>
      <c r="AX11" s="40" t="e">
        <v>#VALUE!</v>
      </c>
      <c r="AY11" s="96">
        <v>1</v>
      </c>
      <c r="AZ11" s="77">
        <v>8</v>
      </c>
      <c r="BA11" s="37">
        <v>8</v>
      </c>
      <c r="BB11" s="80">
        <v>8</v>
      </c>
      <c r="BC11" s="80">
        <v>0</v>
      </c>
      <c r="BD11" s="80">
        <v>0</v>
      </c>
      <c r="BE11" s="80">
        <v>0</v>
      </c>
      <c r="BF11" s="80">
        <v>0</v>
      </c>
      <c r="BG11" s="80">
        <v>0</v>
      </c>
      <c r="BH11" s="80">
        <v>0</v>
      </c>
      <c r="BI11" s="80">
        <v>1</v>
      </c>
      <c r="BJ11" s="80">
        <v>0</v>
      </c>
      <c r="BK11" s="80">
        <v>3</v>
      </c>
      <c r="BL11" s="80">
        <v>3</v>
      </c>
      <c r="BM11" s="80">
        <v>1</v>
      </c>
      <c r="BN11" s="88">
        <v>-3</v>
      </c>
      <c r="BO11" s="80">
        <v>0</v>
      </c>
      <c r="BP11" s="80">
        <v>2</v>
      </c>
      <c r="BQ11" s="80">
        <v>1</v>
      </c>
      <c r="BR11" s="80">
        <v>4</v>
      </c>
      <c r="BS11" s="80">
        <v>1</v>
      </c>
      <c r="BT11" s="88">
        <v>-3</v>
      </c>
      <c r="BU11" s="80">
        <v>0</v>
      </c>
      <c r="BV11" s="80">
        <v>3</v>
      </c>
      <c r="BW11" s="80">
        <v>1</v>
      </c>
      <c r="BX11" s="80">
        <v>1</v>
      </c>
      <c r="BY11" s="80">
        <v>3</v>
      </c>
      <c r="BZ11" s="88">
        <v>-1</v>
      </c>
      <c r="CA11" s="88">
        <v>5</v>
      </c>
      <c r="CB11" s="88">
        <v>9</v>
      </c>
      <c r="CC11" s="88">
        <v>4</v>
      </c>
      <c r="CD11" s="80">
        <v>2</v>
      </c>
      <c r="CE11" s="80">
        <v>0</v>
      </c>
      <c r="CF11" s="80">
        <v>6</v>
      </c>
      <c r="CG11" s="89">
        <v>4</v>
      </c>
      <c r="CH11" s="80">
        <v>7</v>
      </c>
      <c r="CI11" s="80">
        <v>1</v>
      </c>
      <c r="CJ11" s="89">
        <v>1</v>
      </c>
      <c r="CK11" s="80">
        <v>5</v>
      </c>
      <c r="CL11" s="80">
        <v>3</v>
      </c>
      <c r="CM11" s="89">
        <v>2</v>
      </c>
      <c r="CN11" s="80">
        <v>5</v>
      </c>
      <c r="CO11" s="80">
        <v>0</v>
      </c>
      <c r="CP11" s="80">
        <v>0</v>
      </c>
      <c r="CQ11" s="80">
        <v>0</v>
      </c>
      <c r="CR11" s="80">
        <v>1</v>
      </c>
      <c r="CS11" s="80">
        <v>2</v>
      </c>
      <c r="CT11" s="90">
        <v>3</v>
      </c>
      <c r="CU11" s="80">
        <v>1</v>
      </c>
      <c r="CV11" s="80">
        <v>2</v>
      </c>
      <c r="CW11" s="80">
        <v>2</v>
      </c>
      <c r="CX11" s="80">
        <v>0</v>
      </c>
      <c r="CY11" s="80">
        <v>3</v>
      </c>
      <c r="CZ11" s="80">
        <v>0</v>
      </c>
      <c r="DA11" s="80">
        <v>5</v>
      </c>
      <c r="DB11" s="97" t="e">
        <f>COUNTIFS('[1]From Stata'!$BP$3:$BP$260,$A11,'[1]From Stata'!$BE$3:$BE$260,DB$2)</f>
        <v>#VALUE!</v>
      </c>
      <c r="DC11" s="98" t="e">
        <f>COUNTIFS('[1]From Stata'!$BP$3:$BP$260,$A11,'[1]From Stata'!$BH$3:$BH$260,DC$2)</f>
        <v>#VALUE!</v>
      </c>
      <c r="DD11" s="98" t="e">
        <f>COUNTIFS('[1]From Stata'!$BP$3:$BP$260,$A11,'[1]From Stata'!$BH$3:$BH$260,DD$2)</f>
        <v>#VALUE!</v>
      </c>
    </row>
    <row r="12" spans="1:108" s="41" customFormat="1" ht="16.2" thickBot="1" x14ac:dyDescent="0.35">
      <c r="A12" s="79" t="s">
        <v>138</v>
      </c>
      <c r="B12" s="93">
        <v>9</v>
      </c>
      <c r="C12" s="77" t="s">
        <v>117</v>
      </c>
      <c r="D12" s="94" t="s">
        <v>118</v>
      </c>
      <c r="E12" s="101"/>
      <c r="F12"/>
      <c r="G12"/>
      <c r="H12" s="102" t="s">
        <v>113</v>
      </c>
      <c r="I12" s="102" t="s">
        <v>113</v>
      </c>
      <c r="J12" s="102"/>
      <c r="K12" s="102" t="s">
        <v>113</v>
      </c>
      <c r="L12" s="102" t="s">
        <v>113</v>
      </c>
      <c r="M12" s="102" t="s">
        <v>113</v>
      </c>
      <c r="N12" s="102" t="s">
        <v>113</v>
      </c>
      <c r="O12" s="80">
        <v>4</v>
      </c>
      <c r="P12" s="80">
        <v>2</v>
      </c>
      <c r="Q12" s="80">
        <v>1</v>
      </c>
      <c r="R12" s="80">
        <v>5</v>
      </c>
      <c r="S12" s="80">
        <v>0</v>
      </c>
      <c r="T12" s="80">
        <v>2</v>
      </c>
      <c r="U12" s="81" t="s">
        <v>168</v>
      </c>
      <c r="V12" s="82" t="s">
        <v>114</v>
      </c>
      <c r="W12" s="83" t="s">
        <v>115</v>
      </c>
      <c r="X12" s="83" t="s">
        <v>113</v>
      </c>
      <c r="Y12" s="83" t="s">
        <v>139</v>
      </c>
      <c r="Z12" s="84" t="s">
        <v>140</v>
      </c>
      <c r="AA12" s="85"/>
      <c r="AB12" s="86" t="e">
        <v>#VALUE!</v>
      </c>
      <c r="AC12" s="37" t="e">
        <v>#VALUE!</v>
      </c>
      <c r="AD12" s="37" t="e">
        <v>#VALUE!</v>
      </c>
      <c r="AE12" s="37" t="e">
        <v>#VALUE!</v>
      </c>
      <c r="AF12" s="37" t="e">
        <v>#VALUE!</v>
      </c>
      <c r="AG12" s="37" t="e">
        <v>#VALUE!</v>
      </c>
      <c r="AH12" s="37" t="e">
        <v>#VALUE!</v>
      </c>
      <c r="AI12" s="37" t="e">
        <v>#VALUE!</v>
      </c>
      <c r="AJ12" s="37" t="e">
        <v>#VALUE!</v>
      </c>
      <c r="AK12" s="37" t="s">
        <v>141</v>
      </c>
      <c r="AL12" s="40" t="e">
        <v>#VALUE!</v>
      </c>
      <c r="AM12" s="40"/>
      <c r="AN12" s="40" t="e">
        <v>#VALUE!</v>
      </c>
      <c r="AO12" s="40" t="e">
        <v>#VALUE!</v>
      </c>
      <c r="AP12" s="40" t="e">
        <v>#VALUE!</v>
      </c>
      <c r="AQ12" s="40" t="e">
        <v>#VALUE!</v>
      </c>
      <c r="AR12" s="40" t="e">
        <v>#VALUE!</v>
      </c>
      <c r="AS12" s="40" t="e">
        <v>#VALUE!</v>
      </c>
      <c r="AT12" s="40" t="e">
        <v>#VALUE!</v>
      </c>
      <c r="AU12" s="40" t="e">
        <v>#VALUE!</v>
      </c>
      <c r="AV12" s="40" t="e">
        <v>#VALUE!</v>
      </c>
      <c r="AW12" s="40" t="e">
        <v>#VALUE!</v>
      </c>
      <c r="AX12" s="40" t="e">
        <v>#VALUE!</v>
      </c>
      <c r="AY12" s="87">
        <v>1</v>
      </c>
      <c r="AZ12" s="37">
        <v>7</v>
      </c>
      <c r="BA12" s="37">
        <v>7</v>
      </c>
      <c r="BB12" s="80">
        <v>7</v>
      </c>
      <c r="BC12" s="80">
        <v>0</v>
      </c>
      <c r="BD12" s="80">
        <v>0</v>
      </c>
      <c r="BE12" s="80">
        <v>0</v>
      </c>
      <c r="BF12" s="80">
        <v>0</v>
      </c>
      <c r="BG12" s="80">
        <v>0</v>
      </c>
      <c r="BH12" s="80">
        <v>1</v>
      </c>
      <c r="BI12" s="80">
        <v>1</v>
      </c>
      <c r="BJ12" s="80">
        <v>0</v>
      </c>
      <c r="BK12" s="80">
        <v>2</v>
      </c>
      <c r="BL12" s="80">
        <v>2</v>
      </c>
      <c r="BM12" s="80">
        <v>1</v>
      </c>
      <c r="BN12" s="88">
        <v>-2</v>
      </c>
      <c r="BO12" s="80">
        <v>0</v>
      </c>
      <c r="BP12" s="80">
        <v>2</v>
      </c>
      <c r="BQ12" s="80">
        <v>2</v>
      </c>
      <c r="BR12" s="80">
        <v>1</v>
      </c>
      <c r="BS12" s="80">
        <v>1</v>
      </c>
      <c r="BT12" s="88">
        <v>0</v>
      </c>
      <c r="BU12" s="80">
        <v>0</v>
      </c>
      <c r="BV12" s="80">
        <v>1</v>
      </c>
      <c r="BW12" s="80">
        <v>1</v>
      </c>
      <c r="BX12" s="80">
        <v>2</v>
      </c>
      <c r="BY12" s="80">
        <v>2</v>
      </c>
      <c r="BZ12" s="88">
        <v>-3</v>
      </c>
      <c r="CA12" s="88">
        <v>3</v>
      </c>
      <c r="CB12" s="88">
        <v>6</v>
      </c>
      <c r="CC12" s="88">
        <v>3</v>
      </c>
      <c r="CD12" s="80">
        <v>3</v>
      </c>
      <c r="CE12" s="80">
        <v>0</v>
      </c>
      <c r="CF12" s="80">
        <v>4</v>
      </c>
      <c r="CG12" s="89">
        <v>1</v>
      </c>
      <c r="CH12" s="80">
        <v>4</v>
      </c>
      <c r="CI12" s="80">
        <v>3</v>
      </c>
      <c r="CJ12" s="89">
        <v>3</v>
      </c>
      <c r="CK12" s="80">
        <v>1</v>
      </c>
      <c r="CL12" s="80">
        <v>6</v>
      </c>
      <c r="CM12" s="89">
        <v>5</v>
      </c>
      <c r="CN12" s="80">
        <v>1</v>
      </c>
      <c r="CO12" s="80">
        <v>0</v>
      </c>
      <c r="CP12" s="80">
        <v>1</v>
      </c>
      <c r="CQ12" s="80">
        <v>0</v>
      </c>
      <c r="CR12" s="80">
        <v>3</v>
      </c>
      <c r="CS12" s="80">
        <v>2</v>
      </c>
      <c r="CT12" s="90">
        <v>4</v>
      </c>
      <c r="CU12" s="80">
        <v>0</v>
      </c>
      <c r="CV12" s="80">
        <v>1</v>
      </c>
      <c r="CW12" s="80">
        <v>0</v>
      </c>
      <c r="CX12" s="80">
        <v>0</v>
      </c>
      <c r="CY12" s="80">
        <v>0</v>
      </c>
      <c r="CZ12" s="80">
        <v>6</v>
      </c>
      <c r="DA12" s="80">
        <v>1</v>
      </c>
      <c r="DB12" s="91" t="e">
        <f>COUNTIFS([2]Data!$CX$3:$CX$194,$A12,[2]Data!$AU$3:$AU$194,DB$2)</f>
        <v>#VALUE!</v>
      </c>
      <c r="DC12" s="92" t="e">
        <f>COUNTIFS([2]Data!$CX$3:$CX$194,$A12,[2]Data!$AU$3:$AU$194,DC$2)</f>
        <v>#VALUE!</v>
      </c>
      <c r="DD12" s="92" t="e">
        <f>COUNTIFS([2]Data!$CX$3:$CX$194,$A12,[2]Data!$AU$3:$AU$194,DD$2)</f>
        <v>#VALUE!</v>
      </c>
    </row>
    <row r="13" spans="1:108" s="41" customFormat="1" ht="16.2" thickBot="1" x14ac:dyDescent="0.35">
      <c r="A13" s="79" t="s">
        <v>142</v>
      </c>
      <c r="B13" s="93">
        <v>10</v>
      </c>
      <c r="C13" s="77" t="s">
        <v>117</v>
      </c>
      <c r="D13" s="94" t="s">
        <v>118</v>
      </c>
      <c r="E13" s="79"/>
      <c r="F13"/>
      <c r="G13"/>
      <c r="H13" s="102" t="s">
        <v>113</v>
      </c>
      <c r="I13" s="102" t="s">
        <v>113</v>
      </c>
      <c r="J13" s="102"/>
      <c r="K13" s="102" t="s">
        <v>113</v>
      </c>
      <c r="L13" s="102" t="s">
        <v>113</v>
      </c>
      <c r="M13" s="102" t="s">
        <v>113</v>
      </c>
      <c r="N13" s="102" t="s">
        <v>113</v>
      </c>
      <c r="O13" s="80">
        <v>6</v>
      </c>
      <c r="P13" s="80">
        <v>1</v>
      </c>
      <c r="Q13" s="80">
        <v>2</v>
      </c>
      <c r="R13" s="80">
        <v>4</v>
      </c>
      <c r="S13" s="80">
        <v>1</v>
      </c>
      <c r="T13" s="80">
        <v>4</v>
      </c>
      <c r="U13" s="81" t="s">
        <v>168</v>
      </c>
      <c r="V13" s="82"/>
      <c r="W13" s="83"/>
      <c r="X13" s="83"/>
      <c r="Y13" s="83"/>
      <c r="Z13" s="84"/>
      <c r="AA13" s="85"/>
      <c r="AB13" s="86"/>
      <c r="AC13" s="37"/>
      <c r="AD13" s="37"/>
      <c r="AE13" s="37"/>
      <c r="AF13" s="37"/>
      <c r="AG13" s="37"/>
      <c r="AH13" s="37"/>
      <c r="AI13" s="37"/>
      <c r="AJ13" s="37"/>
      <c r="AK13" s="37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87"/>
      <c r="AZ13" s="37">
        <v>9</v>
      </c>
      <c r="BA13" s="37">
        <v>8</v>
      </c>
      <c r="BB13" s="80">
        <v>8</v>
      </c>
      <c r="BC13" s="80">
        <v>0</v>
      </c>
      <c r="BD13" s="80">
        <v>0</v>
      </c>
      <c r="BE13" s="80">
        <v>0</v>
      </c>
      <c r="BF13" s="80">
        <v>0</v>
      </c>
      <c r="BG13" s="80">
        <v>1</v>
      </c>
      <c r="BH13" s="80">
        <v>1</v>
      </c>
      <c r="BI13" s="80">
        <v>0</v>
      </c>
      <c r="BJ13" s="80">
        <v>0</v>
      </c>
      <c r="BK13" s="80">
        <v>4</v>
      </c>
      <c r="BL13" s="80">
        <v>3</v>
      </c>
      <c r="BM13" s="80">
        <v>1</v>
      </c>
      <c r="BN13" s="88">
        <v>-4</v>
      </c>
      <c r="BO13" s="80">
        <v>0</v>
      </c>
      <c r="BP13" s="80">
        <v>1</v>
      </c>
      <c r="BQ13" s="80">
        <v>2</v>
      </c>
      <c r="BR13" s="80">
        <v>3</v>
      </c>
      <c r="BS13" s="80">
        <v>0</v>
      </c>
      <c r="BT13" s="88">
        <v>-2</v>
      </c>
      <c r="BU13" s="80">
        <v>1</v>
      </c>
      <c r="BV13" s="80">
        <v>0</v>
      </c>
      <c r="BW13" s="80">
        <v>1</v>
      </c>
      <c r="BX13" s="80">
        <v>1</v>
      </c>
      <c r="BY13" s="80">
        <v>3</v>
      </c>
      <c r="BZ13" s="88">
        <v>-3</v>
      </c>
      <c r="CA13" s="88">
        <v>2</v>
      </c>
      <c r="CB13" s="88">
        <v>7</v>
      </c>
      <c r="CC13" s="88">
        <v>5</v>
      </c>
      <c r="CD13" s="80">
        <v>4</v>
      </c>
      <c r="CE13" s="80">
        <v>0</v>
      </c>
      <c r="CF13" s="80">
        <v>5</v>
      </c>
      <c r="CG13" s="89">
        <v>1</v>
      </c>
      <c r="CH13" s="80">
        <v>6</v>
      </c>
      <c r="CI13" s="80">
        <v>3</v>
      </c>
      <c r="CJ13" s="89">
        <v>3</v>
      </c>
      <c r="CK13" s="80">
        <v>3</v>
      </c>
      <c r="CL13" s="80">
        <v>6</v>
      </c>
      <c r="CM13" s="89">
        <v>3</v>
      </c>
      <c r="CN13" s="80">
        <v>3</v>
      </c>
      <c r="CO13" s="80">
        <v>0</v>
      </c>
      <c r="CP13" s="80">
        <v>1</v>
      </c>
      <c r="CQ13" s="80">
        <v>3</v>
      </c>
      <c r="CR13" s="80">
        <v>1</v>
      </c>
      <c r="CS13" s="80">
        <v>1</v>
      </c>
      <c r="CT13" s="90">
        <v>5</v>
      </c>
      <c r="CU13" s="80">
        <v>1</v>
      </c>
      <c r="CV13" s="80">
        <v>1</v>
      </c>
      <c r="CW13" s="80">
        <v>0</v>
      </c>
      <c r="CX13" s="80">
        <v>1</v>
      </c>
      <c r="CY13" s="80">
        <v>0</v>
      </c>
      <c r="CZ13" s="80">
        <v>8</v>
      </c>
      <c r="DA13" s="80">
        <v>1</v>
      </c>
      <c r="DB13" s="91"/>
      <c r="DC13" s="92"/>
      <c r="DD13" s="92"/>
    </row>
    <row r="14" spans="1:108" s="41" customFormat="1" ht="16.2" thickBot="1" x14ac:dyDescent="0.35">
      <c r="A14" s="79" t="s">
        <v>143</v>
      </c>
      <c r="B14" s="93">
        <v>11</v>
      </c>
      <c r="C14" s="77" t="s">
        <v>110</v>
      </c>
      <c r="D14" s="78" t="s">
        <v>111</v>
      </c>
      <c r="E14" s="79"/>
      <c r="F14" s="79"/>
      <c r="G14" s="79" t="s">
        <v>131</v>
      </c>
      <c r="H14" s="79" t="s">
        <v>113</v>
      </c>
      <c r="I14" s="79" t="s">
        <v>113</v>
      </c>
      <c r="J14" s="79"/>
      <c r="K14" s="79" t="s">
        <v>113</v>
      </c>
      <c r="L14" s="79" t="s">
        <v>113</v>
      </c>
      <c r="M14" s="79" t="s">
        <v>113</v>
      </c>
      <c r="N14" s="79" t="s">
        <v>113</v>
      </c>
      <c r="O14" s="80">
        <v>1</v>
      </c>
      <c r="P14" s="80">
        <v>0</v>
      </c>
      <c r="Q14" s="80">
        <v>0</v>
      </c>
      <c r="R14" s="80">
        <v>7</v>
      </c>
      <c r="S14" s="80">
        <v>0</v>
      </c>
      <c r="T14" s="80">
        <v>1</v>
      </c>
      <c r="U14" s="81" t="s">
        <v>169</v>
      </c>
      <c r="V14" s="82"/>
      <c r="W14" s="83" t="s">
        <v>115</v>
      </c>
      <c r="X14" s="83"/>
      <c r="Y14" s="83" t="s">
        <v>115</v>
      </c>
      <c r="Z14" s="84" t="s">
        <v>115</v>
      </c>
      <c r="AA14" s="85"/>
      <c r="AB14" s="86" t="e">
        <v>#VALUE!</v>
      </c>
      <c r="AC14" s="37" t="e">
        <v>#VALUE!</v>
      </c>
      <c r="AD14" s="37" t="e">
        <v>#VALUE!</v>
      </c>
      <c r="AE14" s="37" t="e">
        <v>#VALUE!</v>
      </c>
      <c r="AF14" s="37" t="e">
        <v>#VALUE!</v>
      </c>
      <c r="AG14" s="37" t="e">
        <v>#VALUE!</v>
      </c>
      <c r="AH14" s="37" t="e">
        <v>#VALUE!</v>
      </c>
      <c r="AI14" s="37" t="e">
        <v>#VALUE!</v>
      </c>
      <c r="AJ14" s="37" t="e">
        <v>#VALUE!</v>
      </c>
      <c r="AK14" s="37">
        <v>1</v>
      </c>
      <c r="AL14" s="40" t="e">
        <v>#VALUE!</v>
      </c>
      <c r="AM14" s="40"/>
      <c r="AN14" s="40" t="e">
        <v>#VALUE!</v>
      </c>
      <c r="AO14" s="40" t="e">
        <v>#VALUE!</v>
      </c>
      <c r="AP14" s="40" t="e">
        <v>#VALUE!</v>
      </c>
      <c r="AQ14" s="40" t="e">
        <v>#VALUE!</v>
      </c>
      <c r="AR14" s="40" t="e">
        <v>#VALUE!</v>
      </c>
      <c r="AS14" s="40" t="e">
        <v>#VALUE!</v>
      </c>
      <c r="AT14" s="40" t="e">
        <v>#VALUE!</v>
      </c>
      <c r="AU14" s="40" t="e">
        <v>#VALUE!</v>
      </c>
      <c r="AV14" s="40" t="e">
        <v>#VALUE!</v>
      </c>
      <c r="AW14" s="40" t="e">
        <v>#VALUE!</v>
      </c>
      <c r="AX14" s="40" t="e">
        <v>#VALUE!</v>
      </c>
      <c r="AY14" s="103">
        <v>1</v>
      </c>
      <c r="AZ14" s="77">
        <v>9</v>
      </c>
      <c r="BA14" s="37">
        <v>8</v>
      </c>
      <c r="BB14" s="80">
        <v>8</v>
      </c>
      <c r="BC14" s="80">
        <v>0</v>
      </c>
      <c r="BD14" s="80">
        <v>1</v>
      </c>
      <c r="BE14" s="80">
        <v>0</v>
      </c>
      <c r="BF14" s="80">
        <v>0</v>
      </c>
      <c r="BG14" s="80">
        <v>0</v>
      </c>
      <c r="BH14" s="80">
        <v>0</v>
      </c>
      <c r="BI14" s="80">
        <v>2</v>
      </c>
      <c r="BJ14" s="80">
        <v>0</v>
      </c>
      <c r="BK14" s="80">
        <v>2</v>
      </c>
      <c r="BL14" s="80">
        <v>3</v>
      </c>
      <c r="BM14" s="80">
        <v>2</v>
      </c>
      <c r="BN14" s="88">
        <v>-3</v>
      </c>
      <c r="BO14" s="80">
        <v>0</v>
      </c>
      <c r="BP14" s="80">
        <v>0</v>
      </c>
      <c r="BQ14" s="80">
        <v>0</v>
      </c>
      <c r="BR14" s="80">
        <v>4</v>
      </c>
      <c r="BS14" s="80">
        <v>1</v>
      </c>
      <c r="BT14" s="88">
        <v>-5</v>
      </c>
      <c r="BU14" s="80">
        <v>1</v>
      </c>
      <c r="BV14" s="80">
        <v>1</v>
      </c>
      <c r="BW14" s="80">
        <v>0</v>
      </c>
      <c r="BX14" s="80">
        <v>3</v>
      </c>
      <c r="BY14" s="80">
        <v>0</v>
      </c>
      <c r="BZ14" s="88">
        <v>-1</v>
      </c>
      <c r="CA14" s="88">
        <v>2</v>
      </c>
      <c r="CB14" s="88">
        <v>8</v>
      </c>
      <c r="CC14" s="88">
        <v>6</v>
      </c>
      <c r="CD14" s="80">
        <v>8</v>
      </c>
      <c r="CE14" s="80">
        <v>0</v>
      </c>
      <c r="CF14" s="80">
        <v>1</v>
      </c>
      <c r="CG14" s="89">
        <v>7</v>
      </c>
      <c r="CH14" s="80">
        <v>7</v>
      </c>
      <c r="CI14" s="80">
        <v>2</v>
      </c>
      <c r="CJ14" s="89">
        <v>2</v>
      </c>
      <c r="CK14" s="80">
        <v>6</v>
      </c>
      <c r="CL14" s="80">
        <v>3</v>
      </c>
      <c r="CM14" s="89">
        <v>3</v>
      </c>
      <c r="CN14" s="80">
        <v>6</v>
      </c>
      <c r="CO14" s="80">
        <v>0</v>
      </c>
      <c r="CP14" s="80">
        <v>0</v>
      </c>
      <c r="CQ14" s="80">
        <v>0</v>
      </c>
      <c r="CR14" s="80">
        <v>2</v>
      </c>
      <c r="CS14" s="80">
        <v>1</v>
      </c>
      <c r="CT14" s="90">
        <v>3</v>
      </c>
      <c r="CU14" s="80">
        <v>2</v>
      </c>
      <c r="CV14" s="80">
        <v>2</v>
      </c>
      <c r="CW14" s="80">
        <v>2</v>
      </c>
      <c r="CX14" s="80">
        <v>0</v>
      </c>
      <c r="CY14" s="80">
        <v>3</v>
      </c>
      <c r="CZ14" s="80">
        <v>0</v>
      </c>
      <c r="DA14" s="80">
        <v>6</v>
      </c>
      <c r="DB14" s="91" t="e">
        <f>COUNTIFS([2]Data!$CX$3:$CX$194,$A14,[2]Data!$AU$3:$AU$194,DB$2)</f>
        <v>#VALUE!</v>
      </c>
      <c r="DC14" s="92" t="e">
        <f>COUNTIFS([2]Data!$CX$3:$CX$194,$A14,[2]Data!$AU$3:$AU$194,DC$2)</f>
        <v>#VALUE!</v>
      </c>
      <c r="DD14" s="92" t="e">
        <f>COUNTIFS([2]Data!$CX$3:$CX$194,$A14,[2]Data!$AU$3:$AU$194,DD$2)</f>
        <v>#VALUE!</v>
      </c>
    </row>
    <row r="15" spans="1:108" s="41" customFormat="1" ht="16.2" thickBot="1" x14ac:dyDescent="0.35">
      <c r="A15" s="75" t="s">
        <v>144</v>
      </c>
      <c r="B15" s="93">
        <v>12</v>
      </c>
      <c r="C15" s="77" t="s">
        <v>110</v>
      </c>
      <c r="D15" s="78" t="s">
        <v>145</v>
      </c>
      <c r="E15" s="79"/>
      <c r="F15" s="79"/>
      <c r="G15" s="79" t="s">
        <v>112</v>
      </c>
      <c r="H15" s="79" t="s">
        <v>113</v>
      </c>
      <c r="I15" s="79" t="s">
        <v>113</v>
      </c>
      <c r="J15" s="79"/>
      <c r="K15" s="79" t="s">
        <v>125</v>
      </c>
      <c r="L15" s="79" t="s">
        <v>113</v>
      </c>
      <c r="M15" s="79" t="s">
        <v>113</v>
      </c>
      <c r="N15" s="79" t="s">
        <v>113</v>
      </c>
      <c r="O15" s="80">
        <v>0</v>
      </c>
      <c r="P15" s="80">
        <v>0</v>
      </c>
      <c r="Q15" s="80">
        <v>0</v>
      </c>
      <c r="R15" s="80">
        <v>6</v>
      </c>
      <c r="S15" s="80">
        <v>0</v>
      </c>
      <c r="T15" s="80">
        <v>1</v>
      </c>
      <c r="U15" s="81" t="s">
        <v>170</v>
      </c>
      <c r="V15" s="82"/>
      <c r="W15" s="83" t="s">
        <v>146</v>
      </c>
      <c r="X15" s="83" t="s">
        <v>113</v>
      </c>
      <c r="Y15" s="83" t="s">
        <v>115</v>
      </c>
      <c r="Z15" s="84" t="s">
        <v>115</v>
      </c>
      <c r="AA15" s="85"/>
      <c r="AB15" s="86" t="e">
        <v>#VALUE!</v>
      </c>
      <c r="AC15" s="37" t="e">
        <v>#VALUE!</v>
      </c>
      <c r="AD15" s="37" t="e">
        <v>#VALUE!</v>
      </c>
      <c r="AE15" s="37" t="e">
        <v>#VALUE!</v>
      </c>
      <c r="AF15" s="37" t="e">
        <v>#VALUE!</v>
      </c>
      <c r="AG15" s="37" t="e">
        <v>#VALUE!</v>
      </c>
      <c r="AH15" s="37" t="e">
        <v>#VALUE!</v>
      </c>
      <c r="AI15" s="37" t="e">
        <v>#VALUE!</v>
      </c>
      <c r="AJ15" s="37" t="e">
        <v>#VALUE!</v>
      </c>
      <c r="AK15" s="37" t="s">
        <v>141</v>
      </c>
      <c r="AL15" s="40" t="e">
        <v>#VALUE!</v>
      </c>
      <c r="AM15" s="40"/>
      <c r="AN15" s="40" t="e">
        <v>#VALUE!</v>
      </c>
      <c r="AO15" s="40" t="e">
        <v>#VALUE!</v>
      </c>
      <c r="AP15" s="40" t="e">
        <v>#VALUE!</v>
      </c>
      <c r="AQ15" s="40" t="e">
        <v>#VALUE!</v>
      </c>
      <c r="AR15" s="40" t="e">
        <v>#VALUE!</v>
      </c>
      <c r="AS15" s="40" t="e">
        <v>#VALUE!</v>
      </c>
      <c r="AT15" s="40" t="e">
        <v>#VALUE!</v>
      </c>
      <c r="AU15" s="40" t="e">
        <v>#VALUE!</v>
      </c>
      <c r="AV15" s="40" t="e">
        <v>#VALUE!</v>
      </c>
      <c r="AW15" s="40" t="e">
        <v>#VALUE!</v>
      </c>
      <c r="AX15" s="40" t="e">
        <v>#VALUE!</v>
      </c>
      <c r="AY15" s="87">
        <v>1</v>
      </c>
      <c r="AZ15" s="77">
        <v>8</v>
      </c>
      <c r="BA15" s="37">
        <v>8</v>
      </c>
      <c r="BB15" s="80">
        <v>8</v>
      </c>
      <c r="BC15" s="80">
        <v>0</v>
      </c>
      <c r="BD15" s="80">
        <v>0</v>
      </c>
      <c r="BE15" s="80">
        <v>0</v>
      </c>
      <c r="BF15" s="80">
        <v>0</v>
      </c>
      <c r="BG15" s="80">
        <v>0</v>
      </c>
      <c r="BH15" s="80">
        <v>1</v>
      </c>
      <c r="BI15" s="80">
        <v>0</v>
      </c>
      <c r="BJ15" s="80">
        <v>0</v>
      </c>
      <c r="BK15" s="80">
        <v>1</v>
      </c>
      <c r="BL15" s="80">
        <v>5</v>
      </c>
      <c r="BM15" s="80">
        <v>1</v>
      </c>
      <c r="BN15" s="88">
        <v>-6</v>
      </c>
      <c r="BO15" s="80">
        <v>1</v>
      </c>
      <c r="BP15" s="80">
        <v>0</v>
      </c>
      <c r="BQ15" s="80">
        <v>0</v>
      </c>
      <c r="BR15" s="80">
        <v>4</v>
      </c>
      <c r="BS15" s="80">
        <v>3</v>
      </c>
      <c r="BT15" s="88">
        <v>-6</v>
      </c>
      <c r="BU15" s="80">
        <v>0</v>
      </c>
      <c r="BV15" s="80">
        <v>5</v>
      </c>
      <c r="BW15" s="80">
        <v>1</v>
      </c>
      <c r="BX15" s="80">
        <v>2</v>
      </c>
      <c r="BY15" s="80">
        <v>0</v>
      </c>
      <c r="BZ15" s="88">
        <v>3</v>
      </c>
      <c r="CA15" s="88">
        <v>6</v>
      </c>
      <c r="CB15" s="88">
        <v>9</v>
      </c>
      <c r="CC15" s="88">
        <v>3</v>
      </c>
      <c r="CD15" s="80">
        <v>5</v>
      </c>
      <c r="CE15" s="80">
        <v>0</v>
      </c>
      <c r="CF15" s="80">
        <v>3</v>
      </c>
      <c r="CG15" s="89">
        <v>2</v>
      </c>
      <c r="CH15" s="80">
        <v>6</v>
      </c>
      <c r="CI15" s="80">
        <v>2</v>
      </c>
      <c r="CJ15" s="89">
        <v>2</v>
      </c>
      <c r="CK15" s="80">
        <v>7</v>
      </c>
      <c r="CL15" s="80">
        <v>1</v>
      </c>
      <c r="CM15" s="89">
        <v>6</v>
      </c>
      <c r="CN15" s="80">
        <v>7</v>
      </c>
      <c r="CO15" s="80">
        <v>0</v>
      </c>
      <c r="CP15" s="80">
        <v>0</v>
      </c>
      <c r="CQ15" s="80">
        <v>0</v>
      </c>
      <c r="CR15" s="80">
        <v>0</v>
      </c>
      <c r="CS15" s="80">
        <v>1</v>
      </c>
      <c r="CT15" s="90">
        <v>2</v>
      </c>
      <c r="CU15" s="80">
        <v>4</v>
      </c>
      <c r="CV15" s="80">
        <v>2</v>
      </c>
      <c r="CW15" s="80">
        <v>1</v>
      </c>
      <c r="CX15" s="80">
        <v>0</v>
      </c>
      <c r="CY15" s="80">
        <v>3</v>
      </c>
      <c r="CZ15" s="80">
        <v>0</v>
      </c>
      <c r="DA15" s="80">
        <v>5</v>
      </c>
      <c r="DB15" s="91" t="e">
        <f>COUNTIFS([2]Data!$CX$3:$CX$194,$A15,[2]Data!$AU$3:$AU$194,DB$2)</f>
        <v>#VALUE!</v>
      </c>
      <c r="DC15" s="92" t="e">
        <f>COUNTIFS([2]Data!$CX$3:$CX$194,$A15,[2]Data!$AU$3:$AU$194,DC$2)</f>
        <v>#VALUE!</v>
      </c>
      <c r="DD15" s="92" t="e">
        <f>COUNTIFS([2]Data!$CX$3:$CX$194,$A15,[2]Data!$AU$3:$AU$194,DD$2)</f>
        <v>#VALUE!</v>
      </c>
    </row>
    <row r="16" spans="1:108" s="41" customFormat="1" ht="16.2" thickBot="1" x14ac:dyDescent="0.35">
      <c r="A16" s="75" t="s">
        <v>147</v>
      </c>
      <c r="B16" s="93">
        <v>13</v>
      </c>
      <c r="C16" s="77" t="s">
        <v>110</v>
      </c>
      <c r="D16" s="78" t="s">
        <v>148</v>
      </c>
      <c r="E16" s="79"/>
      <c r="F16" s="79"/>
      <c r="G16" s="79"/>
      <c r="H16" s="79" t="s">
        <v>113</v>
      </c>
      <c r="I16" s="79"/>
      <c r="J16" s="79"/>
      <c r="K16" s="79" t="s">
        <v>125</v>
      </c>
      <c r="L16" s="79" t="s">
        <v>113</v>
      </c>
      <c r="M16" s="79"/>
      <c r="N16" s="79"/>
      <c r="O16" s="80">
        <v>3</v>
      </c>
      <c r="P16" s="80">
        <v>0</v>
      </c>
      <c r="Q16" s="80">
        <v>5</v>
      </c>
      <c r="R16" s="80"/>
      <c r="S16" s="80"/>
      <c r="T16" s="80"/>
      <c r="U16" s="81" t="s">
        <v>170</v>
      </c>
      <c r="V16" s="82"/>
      <c r="W16" s="83" t="s">
        <v>146</v>
      </c>
      <c r="X16" s="83" t="s">
        <v>113</v>
      </c>
      <c r="Y16" s="83" t="s">
        <v>115</v>
      </c>
      <c r="Z16" s="84" t="s">
        <v>115</v>
      </c>
      <c r="AA16" s="85"/>
      <c r="AB16" s="86" t="e">
        <v>#VALUE!</v>
      </c>
      <c r="AC16" s="37" t="e">
        <v>#VALUE!</v>
      </c>
      <c r="AD16" s="37" t="e">
        <v>#VALUE!</v>
      </c>
      <c r="AE16" s="37" t="e">
        <v>#VALUE!</v>
      </c>
      <c r="AF16" s="37" t="e">
        <v>#VALUE!</v>
      </c>
      <c r="AG16" s="37" t="e">
        <v>#VALUE!</v>
      </c>
      <c r="AH16" s="37" t="e">
        <v>#VALUE!</v>
      </c>
      <c r="AI16" s="37" t="e">
        <v>#VALUE!</v>
      </c>
      <c r="AJ16" s="37" t="e">
        <v>#VALUE!</v>
      </c>
      <c r="AK16" s="37" t="s">
        <v>141</v>
      </c>
      <c r="AL16" s="40" t="e">
        <v>#VALUE!</v>
      </c>
      <c r="AM16" s="40"/>
      <c r="AN16" s="40" t="e">
        <v>#VALUE!</v>
      </c>
      <c r="AO16" s="40" t="e">
        <v>#VALUE!</v>
      </c>
      <c r="AP16" s="40" t="e">
        <v>#VALUE!</v>
      </c>
      <c r="AQ16" s="40" t="e">
        <v>#VALUE!</v>
      </c>
      <c r="AR16" s="40" t="e">
        <v>#VALUE!</v>
      </c>
      <c r="AS16" s="40" t="e">
        <v>#VALUE!</v>
      </c>
      <c r="AT16" s="40" t="e">
        <v>#VALUE!</v>
      </c>
      <c r="AU16" s="40" t="e">
        <v>#VALUE!</v>
      </c>
      <c r="AV16" s="40" t="e">
        <v>#VALUE!</v>
      </c>
      <c r="AW16" s="40" t="e">
        <v>#VALUE!</v>
      </c>
      <c r="AX16" s="40" t="e">
        <v>#VALUE!</v>
      </c>
      <c r="AY16" s="87">
        <v>1</v>
      </c>
      <c r="AZ16" s="77">
        <v>8</v>
      </c>
      <c r="BA16" s="37">
        <v>4</v>
      </c>
      <c r="BB16" s="80">
        <v>4</v>
      </c>
      <c r="BC16" s="80">
        <v>0</v>
      </c>
      <c r="BD16" s="80">
        <v>0</v>
      </c>
      <c r="BE16" s="80">
        <v>0</v>
      </c>
      <c r="BF16" s="80">
        <v>0</v>
      </c>
      <c r="BG16" s="80">
        <v>4</v>
      </c>
      <c r="BH16" s="80">
        <v>0</v>
      </c>
      <c r="BI16" s="80">
        <v>0</v>
      </c>
      <c r="BJ16" s="80">
        <v>0</v>
      </c>
      <c r="BK16" s="80">
        <v>2</v>
      </c>
      <c r="BL16" s="80">
        <v>3</v>
      </c>
      <c r="BM16" s="80">
        <v>2</v>
      </c>
      <c r="BN16" s="88">
        <v>-5</v>
      </c>
      <c r="BO16" s="80">
        <v>0</v>
      </c>
      <c r="BP16" s="80">
        <v>0</v>
      </c>
      <c r="BQ16" s="80">
        <v>0</v>
      </c>
      <c r="BR16" s="80">
        <v>0</v>
      </c>
      <c r="BS16" s="80">
        <v>0</v>
      </c>
      <c r="BT16" s="88">
        <v>0</v>
      </c>
      <c r="BU16" s="80">
        <v>0</v>
      </c>
      <c r="BV16" s="80">
        <v>0</v>
      </c>
      <c r="BW16" s="80">
        <v>0</v>
      </c>
      <c r="BX16" s="80">
        <v>0</v>
      </c>
      <c r="BY16" s="80">
        <v>0</v>
      </c>
      <c r="BZ16" s="88">
        <v>0</v>
      </c>
      <c r="CA16" s="88">
        <v>0</v>
      </c>
      <c r="CB16" s="88">
        <v>0</v>
      </c>
      <c r="CC16" s="88">
        <v>0</v>
      </c>
      <c r="CD16" s="80">
        <v>7</v>
      </c>
      <c r="CE16" s="80">
        <v>0</v>
      </c>
      <c r="CF16" s="80">
        <v>0</v>
      </c>
      <c r="CG16" s="89">
        <v>7</v>
      </c>
      <c r="CH16" s="80">
        <v>5</v>
      </c>
      <c r="CI16" s="80">
        <v>2</v>
      </c>
      <c r="CJ16" s="89">
        <v>2</v>
      </c>
      <c r="CK16" s="80">
        <v>0</v>
      </c>
      <c r="CL16" s="80">
        <v>7</v>
      </c>
      <c r="CM16" s="89">
        <v>7</v>
      </c>
      <c r="CN16" s="80">
        <v>2</v>
      </c>
      <c r="CO16" s="80">
        <v>1</v>
      </c>
      <c r="CP16" s="80">
        <v>1</v>
      </c>
      <c r="CQ16" s="80">
        <v>0</v>
      </c>
      <c r="CR16" s="80">
        <v>3</v>
      </c>
      <c r="CS16" s="80">
        <v>0</v>
      </c>
      <c r="CT16" s="90">
        <v>4</v>
      </c>
      <c r="CU16" s="80">
        <v>0</v>
      </c>
      <c r="CV16" s="80">
        <v>0</v>
      </c>
      <c r="CW16" s="80">
        <v>0</v>
      </c>
      <c r="CX16" s="80">
        <v>0</v>
      </c>
      <c r="CY16" s="80">
        <v>4</v>
      </c>
      <c r="CZ16" s="80">
        <v>0</v>
      </c>
      <c r="DA16" s="80">
        <v>3</v>
      </c>
      <c r="DB16" s="91"/>
      <c r="DC16" s="92"/>
      <c r="DD16" s="92"/>
    </row>
    <row r="17" spans="1:111" s="41" customFormat="1" ht="16.2" thickBot="1" x14ac:dyDescent="0.35">
      <c r="A17" s="79" t="s">
        <v>149</v>
      </c>
      <c r="B17" s="93">
        <v>14</v>
      </c>
      <c r="C17" s="77" t="s">
        <v>110</v>
      </c>
      <c r="D17" s="78" t="s">
        <v>150</v>
      </c>
      <c r="E17" s="79"/>
      <c r="F17" s="79"/>
      <c r="G17" s="79" t="s">
        <v>112</v>
      </c>
      <c r="H17" s="79" t="s">
        <v>113</v>
      </c>
      <c r="I17" s="79"/>
      <c r="J17" s="79"/>
      <c r="K17" s="79" t="s">
        <v>113</v>
      </c>
      <c r="L17" s="79" t="s">
        <v>113</v>
      </c>
      <c r="M17" s="104" t="s">
        <v>151</v>
      </c>
      <c r="N17" s="79" t="s">
        <v>113</v>
      </c>
      <c r="O17" s="80">
        <v>7</v>
      </c>
      <c r="P17" s="80">
        <v>0</v>
      </c>
      <c r="Q17" s="80">
        <v>1</v>
      </c>
      <c r="R17" s="80">
        <v>7</v>
      </c>
      <c r="S17" s="80">
        <v>0</v>
      </c>
      <c r="T17" s="80">
        <v>1</v>
      </c>
      <c r="U17" s="81" t="s">
        <v>171</v>
      </c>
      <c r="V17" s="82"/>
      <c r="W17" s="83" t="s">
        <v>136</v>
      </c>
      <c r="X17" s="83"/>
      <c r="Y17" s="83" t="s">
        <v>119</v>
      </c>
      <c r="Z17" s="84" t="s">
        <v>115</v>
      </c>
      <c r="AA17" s="85"/>
      <c r="AB17" s="86" t="e">
        <v>#VALUE!</v>
      </c>
      <c r="AC17" s="37" t="e">
        <v>#VALUE!</v>
      </c>
      <c r="AD17" s="37" t="e">
        <v>#VALUE!</v>
      </c>
      <c r="AE17" s="37" t="e">
        <v>#VALUE!</v>
      </c>
      <c r="AF17" s="37" t="e">
        <v>#VALUE!</v>
      </c>
      <c r="AG17" s="37" t="e">
        <v>#VALUE!</v>
      </c>
      <c r="AH17" s="37" t="e">
        <v>#VALUE!</v>
      </c>
      <c r="AI17" s="37" t="e">
        <v>#VALUE!</v>
      </c>
      <c r="AJ17" s="37" t="e">
        <v>#VALUE!</v>
      </c>
      <c r="AK17" s="37" t="s">
        <v>141</v>
      </c>
      <c r="AL17" s="40" t="e">
        <v>#VALUE!</v>
      </c>
      <c r="AM17" s="40"/>
      <c r="AN17" s="40" t="e">
        <v>#VALUE!</v>
      </c>
      <c r="AO17" s="40" t="e">
        <v>#VALUE!</v>
      </c>
      <c r="AP17" s="40" t="e">
        <v>#VALUE!</v>
      </c>
      <c r="AQ17" s="40" t="e">
        <v>#VALUE!</v>
      </c>
      <c r="AR17" s="40" t="e">
        <v>#VALUE!</v>
      </c>
      <c r="AS17" s="40" t="e">
        <v>#VALUE!</v>
      </c>
      <c r="AT17" s="40" t="e">
        <v>#VALUE!</v>
      </c>
      <c r="AU17" s="40" t="e">
        <v>#VALUE!</v>
      </c>
      <c r="AV17" s="40" t="e">
        <v>#VALUE!</v>
      </c>
      <c r="AW17" s="40" t="e">
        <v>#VALUE!</v>
      </c>
      <c r="AX17" s="40" t="e">
        <v>#VALUE!</v>
      </c>
      <c r="AY17" s="96">
        <v>1</v>
      </c>
      <c r="AZ17" s="77">
        <v>8</v>
      </c>
      <c r="BA17" s="37">
        <v>8</v>
      </c>
      <c r="BB17" s="80">
        <v>8</v>
      </c>
      <c r="BC17" s="80">
        <v>0</v>
      </c>
      <c r="BD17" s="80">
        <v>0</v>
      </c>
      <c r="BE17" s="80">
        <v>0</v>
      </c>
      <c r="BF17" s="80">
        <v>0</v>
      </c>
      <c r="BG17" s="80">
        <v>0</v>
      </c>
      <c r="BH17" s="80">
        <v>0</v>
      </c>
      <c r="BI17" s="80">
        <v>1</v>
      </c>
      <c r="BJ17" s="80">
        <v>0</v>
      </c>
      <c r="BK17" s="80">
        <v>1</v>
      </c>
      <c r="BL17" s="80">
        <v>3</v>
      </c>
      <c r="BM17" s="80">
        <v>3</v>
      </c>
      <c r="BN17" s="88">
        <v>-5</v>
      </c>
      <c r="BO17" s="80">
        <v>0</v>
      </c>
      <c r="BP17" s="80">
        <v>1</v>
      </c>
      <c r="BQ17" s="80">
        <v>2</v>
      </c>
      <c r="BR17" s="80">
        <v>2</v>
      </c>
      <c r="BS17" s="80">
        <v>3</v>
      </c>
      <c r="BT17" s="88">
        <v>-4</v>
      </c>
      <c r="BU17" s="80">
        <v>0</v>
      </c>
      <c r="BV17" s="80">
        <v>1</v>
      </c>
      <c r="BW17" s="80">
        <v>2</v>
      </c>
      <c r="BX17" s="80">
        <v>2</v>
      </c>
      <c r="BY17" s="80">
        <v>3</v>
      </c>
      <c r="BZ17" s="88">
        <v>-4</v>
      </c>
      <c r="CA17" s="88">
        <v>2</v>
      </c>
      <c r="CB17" s="88">
        <v>10</v>
      </c>
      <c r="CC17" s="88">
        <v>8</v>
      </c>
      <c r="CD17" s="80">
        <v>4</v>
      </c>
      <c r="CE17" s="80">
        <v>0</v>
      </c>
      <c r="CF17" s="80">
        <v>4</v>
      </c>
      <c r="CG17" s="89">
        <v>0</v>
      </c>
      <c r="CH17" s="80">
        <v>7</v>
      </c>
      <c r="CI17" s="80">
        <v>1</v>
      </c>
      <c r="CJ17" s="89">
        <v>1</v>
      </c>
      <c r="CK17" s="80">
        <v>6</v>
      </c>
      <c r="CL17" s="80">
        <v>2</v>
      </c>
      <c r="CM17" s="89">
        <v>4</v>
      </c>
      <c r="CN17" s="80">
        <v>6</v>
      </c>
      <c r="CO17" s="80">
        <v>0</v>
      </c>
      <c r="CP17" s="80">
        <v>0</v>
      </c>
      <c r="CQ17" s="80">
        <v>1</v>
      </c>
      <c r="CR17" s="80">
        <v>0</v>
      </c>
      <c r="CS17" s="80">
        <v>1</v>
      </c>
      <c r="CT17" s="90">
        <v>3</v>
      </c>
      <c r="CU17" s="80">
        <v>2</v>
      </c>
      <c r="CV17" s="80">
        <v>3</v>
      </c>
      <c r="CW17" s="80">
        <v>0</v>
      </c>
      <c r="CX17" s="80">
        <v>1</v>
      </c>
      <c r="CY17" s="80">
        <v>4</v>
      </c>
      <c r="CZ17" s="80">
        <v>0</v>
      </c>
      <c r="DA17" s="80">
        <v>4</v>
      </c>
      <c r="DB17" s="97" t="e">
        <f>COUNTIFS([2]Data!$CX$3:$CX$194,$A17,[2]Data!$AU$3:$AU$194,DB$2)</f>
        <v>#VALUE!</v>
      </c>
      <c r="DC17" s="98" t="e">
        <f>COUNTIFS([2]Data!$CX$3:$CX$194,$A17,[2]Data!$AU$3:$AU$194,DC$2)</f>
        <v>#VALUE!</v>
      </c>
      <c r="DD17" s="98" t="e">
        <f>COUNTIFS([2]Data!$CX$3:$CX$194,$A17,[2]Data!$AU$3:$AU$194,DD$2)</f>
        <v>#VALUE!</v>
      </c>
    </row>
    <row r="18" spans="1:111" s="41" customFormat="1" ht="16.2" thickBot="1" x14ac:dyDescent="0.35">
      <c r="A18" s="79" t="s">
        <v>152</v>
      </c>
      <c r="B18" s="93">
        <v>15</v>
      </c>
      <c r="C18" s="77" t="s">
        <v>117</v>
      </c>
      <c r="D18" s="94" t="s">
        <v>118</v>
      </c>
      <c r="E18" s="79"/>
      <c r="F18" s="79"/>
      <c r="G18" s="79"/>
      <c r="H18" s="79"/>
      <c r="I18" s="79" t="s">
        <v>113</v>
      </c>
      <c r="J18" s="79"/>
      <c r="K18" s="79" t="s">
        <v>113</v>
      </c>
      <c r="L18" s="79" t="s">
        <v>113</v>
      </c>
      <c r="M18" s="79" t="s">
        <v>113</v>
      </c>
      <c r="N18" s="79" t="s">
        <v>113</v>
      </c>
      <c r="O18" s="80">
        <v>6</v>
      </c>
      <c r="P18" s="80">
        <v>0</v>
      </c>
      <c r="Q18" s="80">
        <v>3</v>
      </c>
      <c r="R18" s="80">
        <v>4</v>
      </c>
      <c r="S18" s="80">
        <v>0</v>
      </c>
      <c r="T18" s="80">
        <v>5</v>
      </c>
      <c r="U18" s="81" t="s">
        <v>172</v>
      </c>
      <c r="V18" s="82" t="s">
        <v>114</v>
      </c>
      <c r="W18" s="83" t="s">
        <v>115</v>
      </c>
      <c r="X18" s="83"/>
      <c r="Y18" s="83" t="s">
        <v>115</v>
      </c>
      <c r="Z18" s="84" t="s">
        <v>115</v>
      </c>
      <c r="AA18" s="85"/>
      <c r="AB18" s="86" t="e">
        <v>#VALUE!</v>
      </c>
      <c r="AC18" s="37" t="e">
        <v>#VALUE!</v>
      </c>
      <c r="AD18" s="37" t="e">
        <v>#VALUE!</v>
      </c>
      <c r="AE18" s="37" t="e">
        <v>#VALUE!</v>
      </c>
      <c r="AF18" s="37" t="e">
        <v>#VALUE!</v>
      </c>
      <c r="AG18" s="37" t="e">
        <v>#VALUE!</v>
      </c>
      <c r="AH18" s="37" t="e">
        <v>#VALUE!</v>
      </c>
      <c r="AI18" s="37" t="e">
        <v>#VALUE!</v>
      </c>
      <c r="AJ18" s="37" t="e">
        <v>#VALUE!</v>
      </c>
      <c r="AK18" s="37">
        <v>1</v>
      </c>
      <c r="AL18" s="40" t="e">
        <v>#VALUE!</v>
      </c>
      <c r="AM18" s="40"/>
      <c r="AN18" s="40" t="e">
        <v>#VALUE!</v>
      </c>
      <c r="AO18" s="40" t="e">
        <v>#VALUE!</v>
      </c>
      <c r="AP18" s="40" t="e">
        <v>#VALUE!</v>
      </c>
      <c r="AQ18" s="40" t="e">
        <v>#VALUE!</v>
      </c>
      <c r="AR18" s="40" t="e">
        <v>#VALUE!</v>
      </c>
      <c r="AS18" s="40" t="e">
        <v>#VALUE!</v>
      </c>
      <c r="AT18" s="40" t="e">
        <v>#VALUE!</v>
      </c>
      <c r="AU18" s="40" t="e">
        <v>#VALUE!</v>
      </c>
      <c r="AV18" s="40" t="e">
        <v>#VALUE!</v>
      </c>
      <c r="AW18" s="40" t="e">
        <v>#VALUE!</v>
      </c>
      <c r="AX18" s="40" t="e">
        <v>#VALUE!</v>
      </c>
      <c r="AY18" s="96">
        <v>1</v>
      </c>
      <c r="AZ18" s="37">
        <v>9</v>
      </c>
      <c r="BA18" s="37">
        <v>9</v>
      </c>
      <c r="BB18" s="80">
        <v>9</v>
      </c>
      <c r="BC18" s="80">
        <v>0</v>
      </c>
      <c r="BD18" s="80">
        <v>0</v>
      </c>
      <c r="BE18" s="80">
        <v>0</v>
      </c>
      <c r="BF18" s="80">
        <v>0</v>
      </c>
      <c r="BG18" s="80">
        <v>0</v>
      </c>
      <c r="BH18" s="80">
        <v>0</v>
      </c>
      <c r="BI18" s="80">
        <v>1</v>
      </c>
      <c r="BJ18" s="80">
        <v>1</v>
      </c>
      <c r="BK18" s="80">
        <v>0</v>
      </c>
      <c r="BL18" s="80">
        <v>5</v>
      </c>
      <c r="BM18" s="80">
        <v>2</v>
      </c>
      <c r="BN18" s="88">
        <v>-5</v>
      </c>
      <c r="BO18" s="80">
        <v>0</v>
      </c>
      <c r="BP18" s="80">
        <v>2</v>
      </c>
      <c r="BQ18" s="80">
        <v>2</v>
      </c>
      <c r="BR18" s="80">
        <v>3</v>
      </c>
      <c r="BS18" s="80">
        <v>1</v>
      </c>
      <c r="BT18" s="88">
        <v>-2</v>
      </c>
      <c r="BU18" s="80">
        <v>0</v>
      </c>
      <c r="BV18" s="80">
        <v>1</v>
      </c>
      <c r="BW18" s="80">
        <v>1</v>
      </c>
      <c r="BX18" s="80">
        <v>3</v>
      </c>
      <c r="BY18" s="80">
        <v>3</v>
      </c>
      <c r="BZ18" s="88">
        <v>-5</v>
      </c>
      <c r="CA18" s="88">
        <v>3</v>
      </c>
      <c r="CB18" s="88">
        <v>10</v>
      </c>
      <c r="CC18" s="88">
        <v>7</v>
      </c>
      <c r="CD18" s="80">
        <v>6</v>
      </c>
      <c r="CE18" s="80">
        <v>0</v>
      </c>
      <c r="CF18" s="80">
        <v>3</v>
      </c>
      <c r="CG18" s="89">
        <v>3</v>
      </c>
      <c r="CH18" s="80">
        <v>9</v>
      </c>
      <c r="CI18" s="80">
        <v>0</v>
      </c>
      <c r="CJ18" s="89">
        <v>0</v>
      </c>
      <c r="CK18" s="80">
        <v>4</v>
      </c>
      <c r="CL18" s="80">
        <v>5</v>
      </c>
      <c r="CM18" s="89">
        <v>1</v>
      </c>
      <c r="CN18" s="80">
        <v>3</v>
      </c>
      <c r="CO18" s="80">
        <v>1</v>
      </c>
      <c r="CP18" s="80">
        <v>0</v>
      </c>
      <c r="CQ18" s="80">
        <v>0</v>
      </c>
      <c r="CR18" s="80">
        <v>0</v>
      </c>
      <c r="CS18" s="80">
        <v>4</v>
      </c>
      <c r="CT18" s="90">
        <v>3</v>
      </c>
      <c r="CU18" s="80">
        <v>1</v>
      </c>
      <c r="CV18" s="80">
        <v>2</v>
      </c>
      <c r="CW18" s="80">
        <v>0</v>
      </c>
      <c r="CX18" s="80">
        <v>1</v>
      </c>
      <c r="CY18" s="80">
        <v>0</v>
      </c>
      <c r="CZ18" s="80">
        <v>6</v>
      </c>
      <c r="DA18" s="80">
        <v>3</v>
      </c>
      <c r="DB18" s="97" t="e">
        <f>COUNTIFS([2]Data!$CX$3:$CX$194,$A18,[2]Data!$AU$3:$AU$194,DB$2)</f>
        <v>#VALUE!</v>
      </c>
      <c r="DC18" s="98" t="e">
        <f>COUNTIFS([2]Data!$CX$3:$CX$194,$A18,[2]Data!$AU$3:$AU$194,DC$2)</f>
        <v>#VALUE!</v>
      </c>
      <c r="DD18" s="98" t="e">
        <f>COUNTIFS([2]Data!$CX$3:$CX$194,$A18,[2]Data!$AU$3:$AU$194,DD$2)</f>
        <v>#VALUE!</v>
      </c>
    </row>
    <row r="19" spans="1:111" ht="16.2" thickBot="1" x14ac:dyDescent="0.35">
      <c r="A19" s="75" t="s">
        <v>153</v>
      </c>
      <c r="B19" s="93">
        <v>16</v>
      </c>
      <c r="C19" s="77" t="s">
        <v>110</v>
      </c>
      <c r="D19" s="78" t="s">
        <v>154</v>
      </c>
      <c r="E19" s="79"/>
      <c r="F19" s="75"/>
      <c r="G19" s="79" t="s">
        <v>112</v>
      </c>
      <c r="H19" s="79" t="s">
        <v>113</v>
      </c>
      <c r="I19" s="79"/>
      <c r="J19" s="79"/>
      <c r="K19" s="79" t="s">
        <v>113</v>
      </c>
      <c r="L19" s="79" t="s">
        <v>113</v>
      </c>
      <c r="M19" s="79" t="s">
        <v>113</v>
      </c>
      <c r="N19" s="79" t="s">
        <v>113</v>
      </c>
      <c r="O19" s="80">
        <v>6</v>
      </c>
      <c r="P19" s="80">
        <v>0</v>
      </c>
      <c r="Q19" s="80">
        <v>1</v>
      </c>
      <c r="R19" s="80">
        <v>6</v>
      </c>
      <c r="S19" s="80">
        <v>0</v>
      </c>
      <c r="T19" s="80">
        <v>1</v>
      </c>
      <c r="U19" s="81" t="s">
        <v>173</v>
      </c>
      <c r="V19" s="82" t="s">
        <v>114</v>
      </c>
      <c r="W19" s="83" t="s">
        <v>115</v>
      </c>
      <c r="X19" s="83"/>
      <c r="Y19" s="83" t="s">
        <v>115</v>
      </c>
      <c r="Z19" s="84" t="s">
        <v>115</v>
      </c>
      <c r="AA19" s="85"/>
      <c r="AB19" s="86" t="e">
        <v>#VALUE!</v>
      </c>
      <c r="AC19" s="37" t="e">
        <v>#VALUE!</v>
      </c>
      <c r="AD19" s="37" t="e">
        <v>#VALUE!</v>
      </c>
      <c r="AE19" s="37" t="e">
        <v>#VALUE!</v>
      </c>
      <c r="AF19" s="37" t="e">
        <v>#VALUE!</v>
      </c>
      <c r="AG19" s="37" t="e">
        <v>#VALUE!</v>
      </c>
      <c r="AH19" s="37" t="e">
        <v>#VALUE!</v>
      </c>
      <c r="AI19" s="37" t="e">
        <v>#VALUE!</v>
      </c>
      <c r="AJ19" s="37" t="e">
        <v>#VALUE!</v>
      </c>
      <c r="AK19" s="37">
        <v>1</v>
      </c>
      <c r="AL19" s="40" t="e">
        <v>#VALUE!</v>
      </c>
      <c r="AM19" s="40"/>
      <c r="AN19" s="40" t="e">
        <v>#VALUE!</v>
      </c>
      <c r="AO19" s="40" t="e">
        <v>#VALUE!</v>
      </c>
      <c r="AP19" s="40" t="e">
        <v>#VALUE!</v>
      </c>
      <c r="AQ19" s="40" t="e">
        <v>#VALUE!</v>
      </c>
      <c r="AR19" s="40" t="e">
        <v>#VALUE!</v>
      </c>
      <c r="AS19" s="40" t="e">
        <v>#VALUE!</v>
      </c>
      <c r="AT19" s="40" t="e">
        <v>#VALUE!</v>
      </c>
      <c r="AU19" s="40" t="e">
        <v>#VALUE!</v>
      </c>
      <c r="AV19" s="40" t="e">
        <v>#VALUE!</v>
      </c>
      <c r="AW19" s="40" t="e">
        <v>#VALUE!</v>
      </c>
      <c r="AX19" s="40" t="e">
        <v>#VALUE!</v>
      </c>
      <c r="AY19" s="96">
        <v>0.5</v>
      </c>
      <c r="AZ19" s="77">
        <v>7</v>
      </c>
      <c r="BA19" s="37">
        <v>7</v>
      </c>
      <c r="BB19" s="80">
        <v>7</v>
      </c>
      <c r="BC19" s="80">
        <v>0</v>
      </c>
      <c r="BD19" s="80">
        <v>0</v>
      </c>
      <c r="BE19" s="80">
        <v>0</v>
      </c>
      <c r="BF19" s="80">
        <v>0</v>
      </c>
      <c r="BG19" s="80">
        <v>0</v>
      </c>
      <c r="BH19" s="80">
        <v>1</v>
      </c>
      <c r="BI19" s="80">
        <v>0</v>
      </c>
      <c r="BJ19" s="80">
        <v>0</v>
      </c>
      <c r="BK19" s="80">
        <v>2</v>
      </c>
      <c r="BL19" s="80">
        <v>4</v>
      </c>
      <c r="BM19" s="80">
        <v>0</v>
      </c>
      <c r="BN19" s="88">
        <v>-4</v>
      </c>
      <c r="BO19" s="80">
        <v>0</v>
      </c>
      <c r="BP19" s="80">
        <v>0</v>
      </c>
      <c r="BQ19" s="80">
        <v>3</v>
      </c>
      <c r="BR19" s="80">
        <v>2</v>
      </c>
      <c r="BS19" s="80">
        <v>1</v>
      </c>
      <c r="BT19" s="88">
        <v>-3</v>
      </c>
      <c r="BU19" s="80">
        <v>0</v>
      </c>
      <c r="BV19" s="80">
        <v>3</v>
      </c>
      <c r="BW19" s="80">
        <v>0</v>
      </c>
      <c r="BX19" s="80">
        <v>1</v>
      </c>
      <c r="BY19" s="80">
        <v>2</v>
      </c>
      <c r="BZ19" s="88">
        <v>0</v>
      </c>
      <c r="CA19" s="88">
        <v>3</v>
      </c>
      <c r="CB19" s="88">
        <v>6</v>
      </c>
      <c r="CC19" s="88">
        <v>3</v>
      </c>
      <c r="CD19" s="80">
        <v>3</v>
      </c>
      <c r="CE19" s="80">
        <v>0</v>
      </c>
      <c r="CF19" s="80">
        <v>4</v>
      </c>
      <c r="CG19" s="89">
        <v>1</v>
      </c>
      <c r="CH19" s="80">
        <v>5</v>
      </c>
      <c r="CI19" s="80">
        <v>2</v>
      </c>
      <c r="CJ19" s="89">
        <v>2</v>
      </c>
      <c r="CK19" s="80">
        <v>5</v>
      </c>
      <c r="CL19" s="80">
        <v>2</v>
      </c>
      <c r="CM19" s="89">
        <v>3</v>
      </c>
      <c r="CN19" s="80">
        <v>5</v>
      </c>
      <c r="CO19" s="80">
        <v>0</v>
      </c>
      <c r="CP19" s="80">
        <v>0</v>
      </c>
      <c r="CQ19" s="80">
        <v>0</v>
      </c>
      <c r="CR19" s="80">
        <v>0</v>
      </c>
      <c r="CS19" s="80">
        <v>2</v>
      </c>
      <c r="CT19" s="90">
        <v>2</v>
      </c>
      <c r="CU19" s="80">
        <v>1</v>
      </c>
      <c r="CV19" s="80">
        <v>2</v>
      </c>
      <c r="CW19" s="80">
        <v>2</v>
      </c>
      <c r="CX19" s="80">
        <v>0</v>
      </c>
      <c r="CY19" s="80">
        <v>2</v>
      </c>
      <c r="CZ19" s="80">
        <v>0</v>
      </c>
      <c r="DA19" s="80">
        <v>5</v>
      </c>
      <c r="DB19" s="97" t="e">
        <f>COUNTIFS([2]Data!$CX$3:$CX$194,$A19,[2]Data!$AU$3:$AU$194,DB$2)</f>
        <v>#VALUE!</v>
      </c>
      <c r="DC19" s="98" t="e">
        <f>COUNTIFS([2]Data!$CX$3:$CX$194,$A19,[2]Data!$AU$3:$AU$194,DC$2)</f>
        <v>#VALUE!</v>
      </c>
      <c r="DD19" s="98" t="e">
        <f>COUNTIFS([2]Data!$CX$3:$CX$194,$A19,[2]Data!$AU$3:$AU$194,DD$2)</f>
        <v>#VALUE!</v>
      </c>
      <c r="DG19" s="41"/>
    </row>
    <row r="20" spans="1:111" ht="16.2" thickBot="1" x14ac:dyDescent="0.35">
      <c r="A20" s="79" t="s">
        <v>155</v>
      </c>
      <c r="B20" s="93">
        <v>17</v>
      </c>
      <c r="C20" s="77" t="s">
        <v>117</v>
      </c>
      <c r="D20" s="94" t="s">
        <v>118</v>
      </c>
      <c r="E20" s="79"/>
      <c r="F20" s="79"/>
      <c r="G20" s="79"/>
      <c r="H20" s="79" t="s">
        <v>113</v>
      </c>
      <c r="I20" s="79"/>
      <c r="J20" s="79"/>
      <c r="K20" s="79" t="s">
        <v>113</v>
      </c>
      <c r="L20" s="79" t="s">
        <v>113</v>
      </c>
      <c r="M20" s="79" t="s">
        <v>113</v>
      </c>
      <c r="N20" s="79" t="s">
        <v>113</v>
      </c>
      <c r="O20" s="80">
        <v>7</v>
      </c>
      <c r="P20" s="80">
        <v>0</v>
      </c>
      <c r="Q20" s="80">
        <v>2</v>
      </c>
      <c r="R20" s="80">
        <v>4</v>
      </c>
      <c r="S20" s="80">
        <v>0</v>
      </c>
      <c r="T20" s="80">
        <v>5</v>
      </c>
      <c r="U20" s="81" t="s">
        <v>174</v>
      </c>
      <c r="V20" s="82" t="s">
        <v>114</v>
      </c>
      <c r="W20" s="83" t="s">
        <v>115</v>
      </c>
      <c r="X20" s="83"/>
      <c r="Y20" s="83" t="s">
        <v>115</v>
      </c>
      <c r="Z20" s="84" t="s">
        <v>115</v>
      </c>
      <c r="AA20" s="85"/>
      <c r="AB20" s="86" t="e">
        <v>#VALUE!</v>
      </c>
      <c r="AC20" s="37" t="e">
        <v>#VALUE!</v>
      </c>
      <c r="AD20" s="37" t="e">
        <v>#VALUE!</v>
      </c>
      <c r="AE20" s="37" t="e">
        <v>#VALUE!</v>
      </c>
      <c r="AF20" s="37" t="e">
        <v>#VALUE!</v>
      </c>
      <c r="AG20" s="37" t="e">
        <v>#VALUE!</v>
      </c>
      <c r="AH20" s="37" t="e">
        <v>#VALUE!</v>
      </c>
      <c r="AI20" s="37" t="e">
        <v>#VALUE!</v>
      </c>
      <c r="AJ20" s="37" t="e">
        <v>#VALUE!</v>
      </c>
      <c r="AK20" s="37" t="s">
        <v>141</v>
      </c>
      <c r="AL20" s="40" t="e">
        <v>#VALUE!</v>
      </c>
      <c r="AM20" s="40"/>
      <c r="AN20" s="40" t="e">
        <v>#VALUE!</v>
      </c>
      <c r="AO20" s="40" t="e">
        <v>#VALUE!</v>
      </c>
      <c r="AP20" s="40" t="e">
        <v>#VALUE!</v>
      </c>
      <c r="AQ20" s="40" t="e">
        <v>#VALUE!</v>
      </c>
      <c r="AR20" s="40" t="e">
        <v>#VALUE!</v>
      </c>
      <c r="AS20" s="40" t="e">
        <v>#VALUE!</v>
      </c>
      <c r="AT20" s="40" t="e">
        <v>#VALUE!</v>
      </c>
      <c r="AU20" s="40" t="e">
        <v>#VALUE!</v>
      </c>
      <c r="AV20" s="40" t="e">
        <v>#VALUE!</v>
      </c>
      <c r="AW20" s="40" t="e">
        <v>#VALUE!</v>
      </c>
      <c r="AX20" s="40" t="e">
        <v>#VALUE!</v>
      </c>
      <c r="AY20" s="96">
        <v>1</v>
      </c>
      <c r="AZ20" s="77">
        <v>10</v>
      </c>
      <c r="BA20" s="37">
        <v>8</v>
      </c>
      <c r="BB20" s="80">
        <v>8</v>
      </c>
      <c r="BC20" s="80">
        <v>0</v>
      </c>
      <c r="BD20" s="80">
        <v>1</v>
      </c>
      <c r="BE20" s="80">
        <v>0</v>
      </c>
      <c r="BF20" s="80">
        <v>0</v>
      </c>
      <c r="BG20" s="80">
        <v>1</v>
      </c>
      <c r="BH20" s="80">
        <v>0</v>
      </c>
      <c r="BI20" s="80">
        <v>1</v>
      </c>
      <c r="BJ20" s="80">
        <v>2</v>
      </c>
      <c r="BK20" s="80">
        <v>1</v>
      </c>
      <c r="BL20" s="80">
        <v>3</v>
      </c>
      <c r="BM20" s="80">
        <v>3</v>
      </c>
      <c r="BN20" s="88">
        <v>-3</v>
      </c>
      <c r="BO20" s="80">
        <v>0</v>
      </c>
      <c r="BP20" s="80">
        <v>2</v>
      </c>
      <c r="BQ20" s="80">
        <v>1</v>
      </c>
      <c r="BR20" s="80">
        <v>2</v>
      </c>
      <c r="BS20" s="80">
        <v>2</v>
      </c>
      <c r="BT20" s="88">
        <v>-2</v>
      </c>
      <c r="BU20" s="80">
        <v>0</v>
      </c>
      <c r="BV20" s="80">
        <v>0</v>
      </c>
      <c r="BW20" s="80">
        <v>2</v>
      </c>
      <c r="BX20" s="80">
        <v>3</v>
      </c>
      <c r="BY20" s="80">
        <v>2</v>
      </c>
      <c r="BZ20" s="88">
        <v>-5</v>
      </c>
      <c r="CA20" s="88">
        <v>2</v>
      </c>
      <c r="CB20" s="88">
        <v>9</v>
      </c>
      <c r="CC20" s="88">
        <v>7</v>
      </c>
      <c r="CD20" s="80">
        <v>5</v>
      </c>
      <c r="CE20" s="80">
        <v>0</v>
      </c>
      <c r="CF20" s="80">
        <v>4</v>
      </c>
      <c r="CG20" s="89">
        <v>1</v>
      </c>
      <c r="CH20" s="80">
        <v>5</v>
      </c>
      <c r="CI20" s="80">
        <v>4</v>
      </c>
      <c r="CJ20" s="89">
        <v>4</v>
      </c>
      <c r="CK20" s="80">
        <v>6</v>
      </c>
      <c r="CL20" s="80">
        <v>3</v>
      </c>
      <c r="CM20" s="89">
        <v>3</v>
      </c>
      <c r="CN20" s="80">
        <v>6</v>
      </c>
      <c r="CO20" s="80">
        <v>0</v>
      </c>
      <c r="CP20" s="80">
        <v>0</v>
      </c>
      <c r="CQ20" s="80">
        <v>3</v>
      </c>
      <c r="CR20" s="80">
        <v>0</v>
      </c>
      <c r="CS20" s="80">
        <v>1</v>
      </c>
      <c r="CT20" s="90">
        <v>3</v>
      </c>
      <c r="CU20" s="80">
        <v>2</v>
      </c>
      <c r="CV20" s="80">
        <v>2</v>
      </c>
      <c r="CW20" s="80">
        <v>0</v>
      </c>
      <c r="CX20" s="80">
        <v>1</v>
      </c>
      <c r="CY20" s="80">
        <v>0</v>
      </c>
      <c r="CZ20" s="80">
        <v>5</v>
      </c>
      <c r="DA20" s="80">
        <v>4</v>
      </c>
      <c r="DB20" s="91" t="e">
        <f>COUNTIFS([2]Data!$CX$3:$CX$194,$A20,[2]Data!$AU$3:$AU$194,DB$2)</f>
        <v>#VALUE!</v>
      </c>
      <c r="DC20" s="92" t="e">
        <f>COUNTIFS([2]Data!$CX$3:$CX$194,$A20,[2]Data!$AU$3:$AU$194,DC$2)</f>
        <v>#VALUE!</v>
      </c>
      <c r="DD20" s="92" t="e">
        <f>COUNTIFS([2]Data!$CX$3:$CX$194,$A20,[2]Data!$AU$3:$AU$194,DD$2)</f>
        <v>#VALUE!</v>
      </c>
      <c r="DG20" s="41"/>
    </row>
    <row r="21" spans="1:111" s="41" customFormat="1" ht="16.2" thickBot="1" x14ac:dyDescent="0.35">
      <c r="A21" s="79" t="s">
        <v>156</v>
      </c>
      <c r="B21" s="93">
        <v>18</v>
      </c>
      <c r="C21" s="77" t="s">
        <v>117</v>
      </c>
      <c r="D21" s="94" t="s">
        <v>118</v>
      </c>
      <c r="E21" s="79"/>
      <c r="F21" s="79"/>
      <c r="G21" s="79"/>
      <c r="H21" s="79" t="s">
        <v>113</v>
      </c>
      <c r="I21" s="79" t="s">
        <v>113</v>
      </c>
      <c r="J21" s="79"/>
      <c r="K21" s="79" t="s">
        <v>113</v>
      </c>
      <c r="L21" s="79" t="s">
        <v>113</v>
      </c>
      <c r="M21" s="79" t="s">
        <v>113</v>
      </c>
      <c r="N21" s="79" t="s">
        <v>113</v>
      </c>
      <c r="O21" s="80">
        <v>9</v>
      </c>
      <c r="P21" s="80">
        <v>0</v>
      </c>
      <c r="Q21" s="80">
        <v>0</v>
      </c>
      <c r="R21" s="80">
        <v>8</v>
      </c>
      <c r="S21" s="80">
        <v>0</v>
      </c>
      <c r="T21" s="80">
        <v>1</v>
      </c>
      <c r="U21" s="81" t="s">
        <v>175</v>
      </c>
      <c r="V21" s="82" t="s">
        <v>131</v>
      </c>
      <c r="W21" s="83" t="s">
        <v>115</v>
      </c>
      <c r="X21" s="83" t="s">
        <v>113</v>
      </c>
      <c r="Y21" s="83" t="s">
        <v>115</v>
      </c>
      <c r="Z21" s="84" t="s">
        <v>140</v>
      </c>
      <c r="AA21" s="85"/>
      <c r="AB21" s="86" t="e">
        <v>#VALUE!</v>
      </c>
      <c r="AC21" s="37" t="e">
        <v>#VALUE!</v>
      </c>
      <c r="AD21" s="37" t="e">
        <v>#VALUE!</v>
      </c>
      <c r="AE21" s="37" t="e">
        <v>#VALUE!</v>
      </c>
      <c r="AF21" s="37" t="e">
        <v>#VALUE!</v>
      </c>
      <c r="AG21" s="37" t="e">
        <v>#VALUE!</v>
      </c>
      <c r="AH21" s="37" t="e">
        <v>#VALUE!</v>
      </c>
      <c r="AI21" s="37" t="e">
        <v>#VALUE!</v>
      </c>
      <c r="AJ21" s="37" t="e">
        <v>#VALUE!</v>
      </c>
      <c r="AK21" s="37">
        <v>1</v>
      </c>
      <c r="AL21" s="40" t="e">
        <v>#VALUE!</v>
      </c>
      <c r="AM21" s="40"/>
      <c r="AN21" s="40" t="e">
        <v>#VALUE!</v>
      </c>
      <c r="AO21" s="40" t="e">
        <v>#VALUE!</v>
      </c>
      <c r="AP21" s="40" t="e">
        <v>#VALUE!</v>
      </c>
      <c r="AQ21" s="40" t="e">
        <v>#VALUE!</v>
      </c>
      <c r="AR21" s="40" t="e">
        <v>#VALUE!</v>
      </c>
      <c r="AS21" s="40" t="e">
        <v>#VALUE!</v>
      </c>
      <c r="AT21" s="40" t="e">
        <v>#VALUE!</v>
      </c>
      <c r="AU21" s="40" t="e">
        <v>#VALUE!</v>
      </c>
      <c r="AV21" s="40" t="e">
        <v>#VALUE!</v>
      </c>
      <c r="AW21" s="40" t="e">
        <v>#VALUE!</v>
      </c>
      <c r="AX21" s="40" t="e">
        <v>#VALUE!</v>
      </c>
      <c r="AY21" s="96">
        <v>1</v>
      </c>
      <c r="AZ21" s="77">
        <v>8</v>
      </c>
      <c r="BA21" s="37">
        <v>8</v>
      </c>
      <c r="BB21" s="80">
        <v>8</v>
      </c>
      <c r="BC21" s="80">
        <v>0</v>
      </c>
      <c r="BD21" s="80">
        <v>0</v>
      </c>
      <c r="BE21" s="80">
        <v>0</v>
      </c>
      <c r="BF21" s="80">
        <v>0</v>
      </c>
      <c r="BG21" s="80">
        <v>0</v>
      </c>
      <c r="BH21" s="80">
        <v>0</v>
      </c>
      <c r="BI21" s="80">
        <v>2</v>
      </c>
      <c r="BJ21" s="80">
        <v>0</v>
      </c>
      <c r="BK21" s="80">
        <v>2</v>
      </c>
      <c r="BL21" s="80">
        <v>3</v>
      </c>
      <c r="BM21" s="80">
        <v>1</v>
      </c>
      <c r="BN21" s="88">
        <v>-2</v>
      </c>
      <c r="BO21" s="80">
        <v>0</v>
      </c>
      <c r="BP21" s="80">
        <v>2</v>
      </c>
      <c r="BQ21" s="80">
        <v>2</v>
      </c>
      <c r="BR21" s="80">
        <v>1</v>
      </c>
      <c r="BS21" s="80">
        <v>3</v>
      </c>
      <c r="BT21" s="88">
        <v>-2</v>
      </c>
      <c r="BU21" s="80">
        <v>0</v>
      </c>
      <c r="BV21" s="80">
        <v>2</v>
      </c>
      <c r="BW21" s="80">
        <v>2</v>
      </c>
      <c r="BX21" s="80">
        <v>4</v>
      </c>
      <c r="BY21" s="80">
        <v>0</v>
      </c>
      <c r="BZ21" s="88">
        <v>-2</v>
      </c>
      <c r="CA21" s="88">
        <v>4</v>
      </c>
      <c r="CB21" s="88">
        <v>8</v>
      </c>
      <c r="CC21" s="88">
        <v>4</v>
      </c>
      <c r="CD21" s="80">
        <v>4</v>
      </c>
      <c r="CE21" s="80">
        <v>0</v>
      </c>
      <c r="CF21" s="80">
        <v>4</v>
      </c>
      <c r="CG21" s="89">
        <v>0</v>
      </c>
      <c r="CH21" s="80">
        <v>8</v>
      </c>
      <c r="CI21" s="80">
        <v>0</v>
      </c>
      <c r="CJ21" s="89">
        <v>0</v>
      </c>
      <c r="CK21" s="80">
        <v>5</v>
      </c>
      <c r="CL21" s="80">
        <v>3</v>
      </c>
      <c r="CM21" s="89">
        <v>2</v>
      </c>
      <c r="CN21" s="80">
        <v>5</v>
      </c>
      <c r="CO21" s="80">
        <v>0</v>
      </c>
      <c r="CP21" s="80">
        <v>0</v>
      </c>
      <c r="CQ21" s="80">
        <v>0</v>
      </c>
      <c r="CR21" s="80">
        <v>1</v>
      </c>
      <c r="CS21" s="80">
        <v>2</v>
      </c>
      <c r="CT21" s="90">
        <v>3</v>
      </c>
      <c r="CU21" s="80">
        <v>1</v>
      </c>
      <c r="CV21" s="80">
        <v>0</v>
      </c>
      <c r="CW21" s="80">
        <v>3</v>
      </c>
      <c r="CX21" s="80">
        <v>1</v>
      </c>
      <c r="CY21" s="80">
        <v>0</v>
      </c>
      <c r="CZ21" s="80">
        <v>4</v>
      </c>
      <c r="DA21" s="80">
        <v>4</v>
      </c>
      <c r="DB21" s="91" t="e">
        <f>COUNTIFS([2]Data!$CX$3:$CX$194,$A21,[2]Data!$AU$3:$AU$194,DB$2)</f>
        <v>#VALUE!</v>
      </c>
      <c r="DC21" s="92" t="e">
        <f>COUNTIFS([2]Data!$CX$3:$CX$194,$A21,[2]Data!$AU$3:$AU$194,DC$2)</f>
        <v>#VALUE!</v>
      </c>
      <c r="DD21" s="92" t="e">
        <f>COUNTIFS([2]Data!$CX$3:$CX$194,$A21,[2]Data!$AU$3:$AU$194,DD$2)</f>
        <v>#VALUE!</v>
      </c>
    </row>
    <row r="22" spans="1:111" ht="16.2" thickBot="1" x14ac:dyDescent="0.35">
      <c r="C22" s="105"/>
      <c r="D22" s="106"/>
      <c r="E22" s="107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9"/>
      <c r="V22" s="77"/>
      <c r="W22" s="83"/>
      <c r="X22" s="83"/>
      <c r="Y22" s="83"/>
      <c r="Z22" s="83"/>
      <c r="AA22" s="85"/>
      <c r="AB22" s="86"/>
      <c r="AC22" s="37"/>
      <c r="AD22" s="37"/>
      <c r="AE22" s="37"/>
      <c r="AF22" s="37"/>
      <c r="AG22" s="37"/>
      <c r="AH22" s="37"/>
      <c r="AI22" s="37"/>
      <c r="AJ22" s="37"/>
      <c r="AK22" s="37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96"/>
      <c r="AZ22" s="37"/>
      <c r="BA22" s="37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88"/>
      <c r="BO22" s="40"/>
      <c r="BP22" s="40"/>
      <c r="BQ22" s="40"/>
      <c r="BR22" s="40"/>
      <c r="BS22" s="40"/>
      <c r="BT22" s="88"/>
      <c r="BU22" s="40"/>
      <c r="BV22" s="40"/>
      <c r="BW22" s="40"/>
      <c r="BX22" s="40"/>
      <c r="BY22" s="40"/>
      <c r="BZ22" s="88"/>
      <c r="CA22" s="88"/>
      <c r="CB22" s="88"/>
      <c r="CC22" s="88"/>
      <c r="CD22" s="40"/>
      <c r="CE22" s="40"/>
      <c r="CF22" s="40"/>
      <c r="CG22" s="89"/>
      <c r="CH22" s="40"/>
      <c r="CI22" s="40"/>
      <c r="CJ22" s="89"/>
      <c r="CK22" s="40"/>
      <c r="CL22" s="40"/>
      <c r="CM22" s="89"/>
      <c r="CN22" s="40"/>
      <c r="CO22" s="40"/>
      <c r="CP22" s="40"/>
      <c r="CQ22" s="40"/>
      <c r="CR22" s="40"/>
      <c r="CS22" s="40"/>
      <c r="CT22" s="90"/>
      <c r="CU22" s="40"/>
      <c r="CV22" s="40"/>
      <c r="CW22" s="40"/>
      <c r="CX22" s="40"/>
      <c r="CY22" s="40"/>
      <c r="CZ22" s="40"/>
      <c r="DA22" s="40"/>
      <c r="DB22" s="97"/>
      <c r="DC22" s="98"/>
      <c r="DD22" s="98"/>
      <c r="DG22" s="41"/>
    </row>
    <row r="23" spans="1:111" ht="16.2" thickBot="1" x14ac:dyDescent="0.35">
      <c r="A23" s="110" t="s">
        <v>157</v>
      </c>
      <c r="B23" s="110"/>
      <c r="C23" s="77"/>
      <c r="D23" s="75"/>
      <c r="E23" s="75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37">
        <f>19+24</f>
        <v>43</v>
      </c>
      <c r="V23" s="77">
        <f>126/12</f>
        <v>10.5</v>
      </c>
      <c r="W23" s="111"/>
      <c r="X23" s="111"/>
      <c r="Y23" s="111"/>
      <c r="Z23" s="111"/>
      <c r="AA23" s="86"/>
      <c r="AB23" s="86" t="e">
        <f>COUNTIFS('[1]From Stata'!$B$4:$B$258,$A23,'[1]From Stata'!$CW$3:$CW$261,AB$2)</f>
        <v>#VALUE!</v>
      </c>
      <c r="AC23" s="37" t="e">
        <f>COUNTIFS('[1]From Stata'!$B$4:$B$258,$A23,'[1]From Stata'!$CW$3:$CW$261,AC$2)</f>
        <v>#VALUE!</v>
      </c>
      <c r="AD23" s="37" t="e">
        <f>BA23-AB23-AC23</f>
        <v>#VALUE!</v>
      </c>
      <c r="AE23" s="37" t="e">
        <f>COUNTIFS('[1]From Stata'!$B$4:$B$258,$A23,'[1]From Stata'!$CY$3:$CY$261,AE$2)</f>
        <v>#VALUE!</v>
      </c>
      <c r="AF23" s="37" t="e">
        <f>COUNTIFS('[1]From Stata'!$B$4:$B$258,$A23,'[1]From Stata'!$CY$3:$CY$261,AF$2)</f>
        <v>#VALUE!</v>
      </c>
      <c r="AG23" s="37" t="e">
        <f>BA23-AE23-AF23</f>
        <v>#VALUE!</v>
      </c>
      <c r="AH23" s="37">
        <v>6</v>
      </c>
      <c r="AI23" s="37" t="e">
        <f>COUNTIFS('[1]From Stata'!$B$4:$B$258,$A23,'[1]From Stata'!$CY$3:$CY$261,AI$2)</f>
        <v>#VALUE!</v>
      </c>
      <c r="AJ23" s="37" t="e">
        <f>BB23-AH23-AI23</f>
        <v>#VALUE!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77" t="e">
        <f>COUNTIFS('[1]From Stata'!$BP$3:$BP$260,$A23,'[1]From Stata'!$B$3:$B$260,"Primary")</f>
        <v>#VALUE!</v>
      </c>
      <c r="AX23" s="40" t="e">
        <f>COUNTIFS('[1]From Stata'!$B$4:$B$258,$A23,'[1]From Stata'!$O$4:$O$258,"1")</f>
        <v>#VALUE!</v>
      </c>
      <c r="AY23" s="96">
        <v>0.5</v>
      </c>
      <c r="AZ23" s="40">
        <f>SUM(AZ19:AZ21)</f>
        <v>25</v>
      </c>
      <c r="BA23" s="37">
        <f>SUM(BA19:BA21)</f>
        <v>23</v>
      </c>
      <c r="BB23" s="40" t="e">
        <f>COUNTIFS('[3]From Stata'!$S$1:$S$196,$A23,'[3]From Stata'!$L$1:$L$196,BB$2)</f>
        <v>#VALUE!</v>
      </c>
      <c r="BC23" s="40" t="e">
        <f>COUNTIFS('[3]From Stata'!$S$1:$S$196,$A23,'[3]From Stata'!$L$1:$L$196,BC$2)</f>
        <v>#VALUE!</v>
      </c>
      <c r="BD23" s="40" t="e">
        <f>COUNTIFS('[3]From Stata'!$S$1:$S$196,$A23,'[3]From Stata'!$L$1:$L$196,BD$2)</f>
        <v>#VALUE!</v>
      </c>
      <c r="BE23" s="40" t="e">
        <f>COUNTIFS('[3]From Stata'!$S$1:$S$196,$A23,'[3]From Stata'!$L$1:$L$196,BE$2)</f>
        <v>#VALUE!</v>
      </c>
      <c r="BF23" s="40" t="e">
        <f>COUNTIFS('[3]From Stata'!$S$1:$S$196,$A23,'[3]From Stata'!$L$1:$L$196,BF$2)</f>
        <v>#VALUE!</v>
      </c>
      <c r="BG23" s="40" t="e">
        <f>COUNTIFS('[3]From Stata'!$S$1:$S$196,$A23,'[3]From Stata'!$L$1:$L$196,BG$2)</f>
        <v>#VALUE!</v>
      </c>
      <c r="BH23" s="40" t="e">
        <f>COUNTIFS('[3]From Stata'!$S$1:$S$196,$A23,'[3]From Stata'!$AI$1:$AI$196,BH$2)</f>
        <v>#VALUE!</v>
      </c>
      <c r="BI23" s="40" t="e">
        <f>COUNTIFS('[3]From Stata'!$S$1:$S$196,$A23,'[3]From Stata'!$AI$1:$AI$196,BI$2)</f>
        <v>#VALUE!</v>
      </c>
      <c r="BJ23" s="40" t="e">
        <f>COUNTIFS('[3]From Stata'!$S$1:$S$196,$A23,'[3]From Stata'!$AI$1:$AI$196,BJ$2)</f>
        <v>#VALUE!</v>
      </c>
      <c r="BK23" s="40" t="e">
        <f>COUNTIFS('[3]From Stata'!$S$1:$S$196,$A23,'[3]From Stata'!$AI$1:$AI$196,BK$2)</f>
        <v>#VALUE!</v>
      </c>
      <c r="BL23" s="40" t="e">
        <f>COUNTIFS('[3]From Stata'!$S$1:$S$196,$A23,'[3]From Stata'!$AI$1:$AI$196,BL$2)</f>
        <v>#VALUE!</v>
      </c>
      <c r="BM23" s="40" t="e">
        <f>COUNTIFS('[3]From Stata'!$S$1:$S$196,$A23,'[3]From Stata'!$AI$1:$AI$196,BM$2)</f>
        <v>#VALUE!</v>
      </c>
      <c r="BN23" s="88" t="e">
        <f>SUM(BI23:BJ23)-SUM(BL23:BM23)</f>
        <v>#VALUE!</v>
      </c>
      <c r="BO23" s="40" t="e">
        <f>COUNTIFS('[3]From Stata'!$S$1:$S$196,$A23,'[3]From Stata'!$CR$1:$CR$196,BO$2)</f>
        <v>#VALUE!</v>
      </c>
      <c r="BP23" s="40" t="e">
        <f>COUNTIFS('[3]From Stata'!$S$1:$S$196,$A23,'[3]From Stata'!$CR$1:$CR$196,BP$2)</f>
        <v>#VALUE!</v>
      </c>
      <c r="BQ23" s="40" t="e">
        <f>COUNTIFS('[3]From Stata'!$S$1:$S$196,$A23,'[3]From Stata'!$CR$1:$CR$196,BQ$2)</f>
        <v>#VALUE!</v>
      </c>
      <c r="BR23" s="40" t="e">
        <f>COUNTIFS('[3]From Stata'!$S$1:$S$196,$A23,'[3]From Stata'!$CR$1:$CR$196,BR$2)</f>
        <v>#VALUE!</v>
      </c>
      <c r="BS23" s="40" t="e">
        <f>COUNTIFS('[3]From Stata'!$S$1:$S$196,$A23,'[3]From Stata'!$CR$1:$CR$196,BS$2)</f>
        <v>#VALUE!</v>
      </c>
      <c r="BT23" s="88" t="e">
        <f>SUM(BO23:BP23)-SUM(BR23:BS23)</f>
        <v>#VALUE!</v>
      </c>
      <c r="BU23" s="40" t="e">
        <f>COUNTIFS('[3]From Stata'!$S$1:$S$196,$A23,'[3]From Stata'!$CS$1:$CS$196,BU$2)</f>
        <v>#VALUE!</v>
      </c>
      <c r="BV23" s="40" t="e">
        <f>COUNTIFS('[3]From Stata'!$S$1:$S$196,$A23,'[3]From Stata'!$CS$1:$CS$196,BV$2)</f>
        <v>#VALUE!</v>
      </c>
      <c r="BW23" s="40" t="e">
        <f>COUNTIFS('[3]From Stata'!$S$1:$S$196,$A23,'[3]From Stata'!$CS$1:$CS$196,BW$2)</f>
        <v>#VALUE!</v>
      </c>
      <c r="BX23" s="40" t="e">
        <f>COUNTIFS('[3]From Stata'!$S$1:$S$196,$A23,'[3]From Stata'!$CS$1:$CS$196,BX$2)</f>
        <v>#VALUE!</v>
      </c>
      <c r="BY23" s="40" t="e">
        <f>COUNTIFS('[3]From Stata'!$S$1:$S$196,$A23,'[3]From Stata'!$CS$1:$CS$196,BY$2)</f>
        <v>#VALUE!</v>
      </c>
      <c r="BZ23" s="88" t="e">
        <f>SUM(BU23:BV23)-SUM(BX23:BY23)</f>
        <v>#VALUE!</v>
      </c>
      <c r="CA23" s="88" t="e">
        <f>SUM(BO23,BP23,BU23,BV23,#REF!,#REF!)</f>
        <v>#REF!</v>
      </c>
      <c r="CB23" s="88" t="e">
        <f>SUM(BR23,BS23,BX23,BY23,#REF!,#REF!)</f>
        <v>#REF!</v>
      </c>
      <c r="CC23" s="88" t="e">
        <f>CB23-CA23</f>
        <v>#REF!</v>
      </c>
      <c r="CD23" s="40" t="e">
        <f>COUNTIFS('[3]From Stata'!$S$1:$S$196,$A23,'[3]From Stata'!$CP$1:$CP$196,CD$2)</f>
        <v>#VALUE!</v>
      </c>
      <c r="CE23" s="40" t="e">
        <f>COUNTIFS('[1]From Stata'!$B$4:$B$258,$A23,'[1]From Stata'!$DI$4:$DI$258,CE$2)</f>
        <v>#VALUE!</v>
      </c>
      <c r="CF23" s="40" t="e">
        <f>COUNTIFS('[3]From Stata'!$S$1:$S$196,$A23,'[3]From Stata'!$CP$1:$CP$196,CF$2)</f>
        <v>#VALUE!</v>
      </c>
      <c r="CG23" s="89" t="e">
        <f>ABS(CD23-CF23)</f>
        <v>#VALUE!</v>
      </c>
      <c r="CH23" s="40" t="e">
        <f>COUNTIFS('[3]From Stata'!$S$1:$S$196,$A23,'[3]From Stata'!$CU$1:$CU$196,CH$2)</f>
        <v>#VALUE!</v>
      </c>
      <c r="CI23" s="40" t="e">
        <f>COUNTIFS('[3]From Stata'!$S$1:$S$196,$A23,'[3]From Stata'!$CU$1:$CU$196,CI$2)</f>
        <v>#VALUE!</v>
      </c>
      <c r="CJ23" s="89" t="e">
        <f>CI23</f>
        <v>#VALUE!</v>
      </c>
      <c r="CK23" s="40" t="e">
        <f>COUNTIFS('[3]From Stata'!$S$1:$S$196,$A23,'[3]From Stata'!$CQ$1:$CQ$196,CK$2)</f>
        <v>#VALUE!</v>
      </c>
      <c r="CL23" s="40" t="e">
        <f>COUNTIFS('[3]From Stata'!$S$1:$S$196,$A23,'[3]From Stata'!$CQ$1:$CQ$196,CL$2)</f>
        <v>#VALUE!</v>
      </c>
      <c r="CM23" s="89" t="e">
        <f>ABS(CK23-CL23)</f>
        <v>#VALUE!</v>
      </c>
      <c r="CN23" s="40" t="e">
        <f>COUNTIFS('[3]From Stata'!$S$1:$S$196,$A23,'[3]From Stata'!$AH$1:$AH$196,CN$2)</f>
        <v>#VALUE!</v>
      </c>
      <c r="CO23" s="40" t="e">
        <f>COUNTIFS('[3]From Stata'!$S$1:$S$196,$A23,'[3]From Stata'!$AH$1:$AH$196,CO$2)</f>
        <v>#VALUE!</v>
      </c>
      <c r="CP23" s="40" t="e">
        <f>COUNTIFS('[3]From Stata'!$S$1:$S$196,$A23,'[3]From Stata'!$AH$1:$AH$196,CP$2)</f>
        <v>#VALUE!</v>
      </c>
      <c r="CQ23" s="40" t="e">
        <f>COUNTIFS('[3]From Stata'!$S$1:$S$196,$A23,'[3]From Stata'!$AH$1:$AH$196,CQ$2)</f>
        <v>#VALUE!</v>
      </c>
      <c r="CR23" s="40" t="e">
        <f>COUNTIFS('[3]From Stata'!$S$1:$S$196,$A23,'[3]From Stata'!$AH$1:$AH$196,CR$2)</f>
        <v>#VALUE!</v>
      </c>
      <c r="CS23" s="40" t="e">
        <f>COUNTIFS('[3]From Stata'!$S$1:$S$196,$A23,'[3]From Stata'!$AH$1:$AH$196,CS$2)</f>
        <v>#VALUE!</v>
      </c>
      <c r="CT23" s="90">
        <f>COUNTIF(CN23:CS23,"&lt;&gt;0")</f>
        <v>6</v>
      </c>
      <c r="CU23" s="40" t="e">
        <f>COUNTIFS('[3]From Stata'!$S$1:$S$196,$A23,'[3]From Stata'!$AB$1:$AB$196,CU$2)</f>
        <v>#VALUE!</v>
      </c>
      <c r="CV23" s="40" t="e">
        <f>COUNTIFS('[3]From Stata'!$S$1:$S$196,$A23,'[3]From Stata'!$AB$1:$AB$196,CV$2)</f>
        <v>#VALUE!</v>
      </c>
      <c r="CW23" s="40" t="e">
        <f>COUNTIFS('[3]From Stata'!$S$1:$S$196,$A23,'[3]From Stata'!$AB$1:$AB$196,CW$2)</f>
        <v>#VALUE!</v>
      </c>
      <c r="CX23" s="40" t="e">
        <f>COUNTIFS('[3]From Stata'!$S$1:$S$196,$A23,'[3]From Stata'!$AB$1:$AB$196,CX$2)</f>
        <v>#VALUE!</v>
      </c>
      <c r="CY23" s="40" t="e">
        <f>COUNTIFS('[3]From Stata'!$S$1:$S$196,$A23,'[3]From Stata'!$CN$1:$CN$196,CY$2)</f>
        <v>#VALUE!</v>
      </c>
      <c r="CZ23" s="40" t="e">
        <f>COUNTIFS('[3]From Stata'!$S$1:$S$196,$A23,'[3]From Stata'!$CN$1:$CN$196,CZ$2)</f>
        <v>#VALUE!</v>
      </c>
      <c r="DA23" s="40" t="e">
        <f>COUNTIFS('[3]From Stata'!$S$1:$S$196,$A23,'[3]From Stata'!$CN$1:$CN$196,DA$2)</f>
        <v>#VALUE!</v>
      </c>
      <c r="DB23" s="97"/>
      <c r="DC23" s="98"/>
      <c r="DD23" s="98"/>
      <c r="DG23" s="41"/>
    </row>
    <row r="24" spans="1:111" ht="15.6" x14ac:dyDescent="0.3">
      <c r="A24" s="35" t="s">
        <v>158</v>
      </c>
      <c r="B24" s="35"/>
      <c r="C24" s="77"/>
      <c r="D24" s="75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40">
        <f t="shared" ref="O24:T24" si="0">SUM(O3:O21)</f>
        <v>84</v>
      </c>
      <c r="P24" s="40">
        <f t="shared" si="0"/>
        <v>5</v>
      </c>
      <c r="Q24" s="40">
        <f t="shared" si="0"/>
        <v>21</v>
      </c>
      <c r="R24" s="40">
        <f t="shared" si="0"/>
        <v>94</v>
      </c>
      <c r="S24" s="40">
        <f t="shared" si="0"/>
        <v>4</v>
      </c>
      <c r="T24" s="40">
        <f t="shared" si="0"/>
        <v>37</v>
      </c>
      <c r="U24" s="37"/>
      <c r="V24" s="77"/>
      <c r="W24" s="111"/>
      <c r="X24" s="111"/>
      <c r="Y24" s="111"/>
      <c r="Z24" s="111"/>
      <c r="AA24" s="86"/>
      <c r="AB24" s="86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40"/>
      <c r="AX24" s="40"/>
      <c r="AY24" s="87"/>
      <c r="AZ24" s="40">
        <f t="shared" ref="AZ24:DA24" si="1">SUM(AZ3:AZ21)</f>
        <v>158</v>
      </c>
      <c r="BA24" s="40">
        <f t="shared" si="1"/>
        <v>148</v>
      </c>
      <c r="BB24" s="40">
        <f t="shared" si="1"/>
        <v>148</v>
      </c>
      <c r="BC24" s="40">
        <f t="shared" si="1"/>
        <v>0</v>
      </c>
      <c r="BD24" s="40">
        <f t="shared" si="1"/>
        <v>2</v>
      </c>
      <c r="BE24" s="40">
        <f t="shared" si="1"/>
        <v>0</v>
      </c>
      <c r="BF24" s="40">
        <f t="shared" si="1"/>
        <v>0</v>
      </c>
      <c r="BG24" s="40">
        <f t="shared" si="1"/>
        <v>8</v>
      </c>
      <c r="BH24" s="40">
        <f t="shared" si="1"/>
        <v>6</v>
      </c>
      <c r="BI24" s="40">
        <f t="shared" si="1"/>
        <v>22</v>
      </c>
      <c r="BJ24" s="40">
        <f t="shared" si="1"/>
        <v>7</v>
      </c>
      <c r="BK24" s="40">
        <f t="shared" si="1"/>
        <v>32</v>
      </c>
      <c r="BL24" s="40">
        <f t="shared" si="1"/>
        <v>59</v>
      </c>
      <c r="BM24" s="40">
        <f t="shared" si="1"/>
        <v>30</v>
      </c>
      <c r="BN24" s="40">
        <f t="shared" si="1"/>
        <v>-60</v>
      </c>
      <c r="BO24" s="40">
        <f t="shared" si="1"/>
        <v>4</v>
      </c>
      <c r="BP24" s="40">
        <f t="shared" si="1"/>
        <v>24</v>
      </c>
      <c r="BQ24" s="40">
        <f t="shared" si="1"/>
        <v>29</v>
      </c>
      <c r="BR24" s="40">
        <f t="shared" si="1"/>
        <v>46</v>
      </c>
      <c r="BS24" s="40">
        <f t="shared" si="1"/>
        <v>26</v>
      </c>
      <c r="BT24" s="40">
        <f t="shared" si="1"/>
        <v>-44</v>
      </c>
      <c r="BU24" s="40">
        <f t="shared" si="1"/>
        <v>4</v>
      </c>
      <c r="BV24" s="40">
        <f t="shared" si="1"/>
        <v>39</v>
      </c>
      <c r="BW24" s="40">
        <f t="shared" si="1"/>
        <v>19</v>
      </c>
      <c r="BX24" s="40">
        <f t="shared" si="1"/>
        <v>38</v>
      </c>
      <c r="BY24" s="40">
        <f t="shared" si="1"/>
        <v>29</v>
      </c>
      <c r="BZ24" s="40">
        <f t="shared" si="1"/>
        <v>-24</v>
      </c>
      <c r="CA24" s="40">
        <f t="shared" si="1"/>
        <v>71</v>
      </c>
      <c r="CB24" s="40">
        <f t="shared" si="1"/>
        <v>139</v>
      </c>
      <c r="CC24" s="40">
        <f t="shared" si="1"/>
        <v>68</v>
      </c>
      <c r="CD24" s="40">
        <f t="shared" si="1"/>
        <v>89</v>
      </c>
      <c r="CE24" s="40">
        <f t="shared" si="1"/>
        <v>0</v>
      </c>
      <c r="CF24" s="40">
        <f t="shared" si="1"/>
        <v>66</v>
      </c>
      <c r="CG24" s="40">
        <f t="shared" si="1"/>
        <v>45</v>
      </c>
      <c r="CH24" s="40">
        <f t="shared" si="1"/>
        <v>119</v>
      </c>
      <c r="CI24" s="40">
        <f t="shared" si="1"/>
        <v>36</v>
      </c>
      <c r="CJ24" s="40">
        <f t="shared" si="1"/>
        <v>36</v>
      </c>
      <c r="CK24" s="40">
        <f t="shared" si="1"/>
        <v>83</v>
      </c>
      <c r="CL24" s="40">
        <f t="shared" si="1"/>
        <v>72</v>
      </c>
      <c r="CM24" s="40">
        <f t="shared" si="1"/>
        <v>61</v>
      </c>
      <c r="CN24" s="40">
        <f t="shared" si="1"/>
        <v>84</v>
      </c>
      <c r="CO24" s="40">
        <f t="shared" si="1"/>
        <v>3</v>
      </c>
      <c r="CP24" s="40">
        <f t="shared" si="1"/>
        <v>6</v>
      </c>
      <c r="CQ24" s="40">
        <f t="shared" si="1"/>
        <v>9</v>
      </c>
      <c r="CR24" s="40">
        <f t="shared" si="1"/>
        <v>22</v>
      </c>
      <c r="CS24" s="40">
        <f t="shared" si="1"/>
        <v>31</v>
      </c>
      <c r="CT24" s="40">
        <f t="shared" si="1"/>
        <v>58</v>
      </c>
      <c r="CU24" s="40">
        <f t="shared" si="1"/>
        <v>35</v>
      </c>
      <c r="CV24" s="40">
        <f t="shared" si="1"/>
        <v>27</v>
      </c>
      <c r="CW24" s="40">
        <f t="shared" si="1"/>
        <v>14</v>
      </c>
      <c r="CX24" s="40">
        <f t="shared" si="1"/>
        <v>6</v>
      </c>
      <c r="CY24" s="40">
        <f t="shared" si="1"/>
        <v>30</v>
      </c>
      <c r="CZ24" s="40">
        <f t="shared" si="1"/>
        <v>50</v>
      </c>
      <c r="DA24" s="40">
        <f t="shared" si="1"/>
        <v>75</v>
      </c>
      <c r="DB24" s="97"/>
      <c r="DC24" s="98"/>
      <c r="DD24" s="98"/>
      <c r="DG24" s="41"/>
    </row>
    <row r="25" spans="1:111" x14ac:dyDescent="0.3">
      <c r="U25">
        <f>100-67.33</f>
        <v>32.67</v>
      </c>
    </row>
    <row r="26" spans="1:111" x14ac:dyDescent="0.3"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>
        <f>SUM(O24:Q24)</f>
        <v>110</v>
      </c>
      <c r="P26" s="41"/>
      <c r="Q26" s="41"/>
      <c r="R26" s="41">
        <f>SUM(R24:T24)</f>
        <v>135</v>
      </c>
      <c r="S26" s="41"/>
      <c r="T26" s="41"/>
      <c r="U26">
        <f>U25/2</f>
        <v>16.335000000000001</v>
      </c>
      <c r="W26" s="41"/>
      <c r="X26" s="41"/>
      <c r="Y26" s="41"/>
      <c r="Z26" s="41"/>
      <c r="BG26" s="13">
        <f>BG24/20</f>
        <v>0.4</v>
      </c>
      <c r="BO26" s="13" t="s">
        <v>159</v>
      </c>
    </row>
    <row r="27" spans="1:111" x14ac:dyDescent="0.3">
      <c r="U27">
        <f>67.33+U26</f>
        <v>83.664999999999992</v>
      </c>
      <c r="BG27" s="13">
        <f>9*20</f>
        <v>180</v>
      </c>
      <c r="BO27" s="13" t="s">
        <v>160</v>
      </c>
    </row>
    <row r="34" spans="42:42" x14ac:dyDescent="0.3">
      <c r="AP34" s="112">
        <f>120/8</f>
        <v>15</v>
      </c>
    </row>
  </sheetData>
  <autoFilter ref="A2:DA21" xr:uid="{AFF4D52F-71AF-4044-A472-28432AFE9FBD}">
    <sortState xmlns:xlrd2="http://schemas.microsoft.com/office/spreadsheetml/2017/richdata2" ref="A3:DA21">
      <sortCondition ref="B2:B21"/>
    </sortState>
  </autoFilter>
  <mergeCells count="5">
    <mergeCell ref="BH1:BM1"/>
    <mergeCell ref="CD1:CF1"/>
    <mergeCell ref="CH1:CI1"/>
    <mergeCell ref="CK1:CL1"/>
    <mergeCell ref="CN1:CQ1"/>
  </mergeCells>
  <conditionalFormatting sqref="A3:B3"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{ADE75735-3238-4717-B8BC-65AEEE5112C2}</x14:id>
        </ext>
      </extLst>
    </cfRule>
  </conditionalFormatting>
  <conditionalFormatting sqref="A4:B4"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{D9959E23-35E4-44CA-AD65-336FAE84B855}</x14:id>
        </ext>
      </extLst>
    </cfRule>
  </conditionalFormatting>
  <conditionalFormatting sqref="A6:B6"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{C0D2DEE4-1D2B-42C8-B653-A165927990A3}</x14:id>
        </ext>
      </extLst>
    </cfRule>
  </conditionalFormatting>
  <conditionalFormatting sqref="A20:B20">
    <cfRule type="dataBar" priority="2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{1558FFB1-AD71-4707-8D5D-9E69C8985D98}</x14:id>
        </ext>
      </extLst>
    </cfRule>
  </conditionalFormatting>
  <conditionalFormatting sqref="B3:B21">
    <cfRule type="dataBar" priority="1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{6D7F07D4-88B4-4B83-A107-C33315268830}</x14:id>
        </ext>
      </extLst>
    </cfRule>
  </conditionalFormatting>
  <conditionalFormatting sqref="K4:T21 K3:N3">
    <cfRule type="containsText" dxfId="1" priority="4" operator="containsText" text="No">
      <formula>NOT(ISERROR(SEARCH("No",K3)))</formula>
    </cfRule>
  </conditionalFormatting>
  <conditionalFormatting sqref="O3:T2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D24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V24"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:AF24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24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24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K24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:AO13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05">
      <iconSet iconSet="3Flags">
        <cfvo type="percent" val="0"/>
        <cfvo type="percent" val="33"/>
        <cfvo type="percent" val="67"/>
      </iconSet>
    </cfRule>
  </conditionalFormatting>
  <conditionalFormatting sqref="AL3:AS24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23">
      <iconSet iconSet="3Flags">
        <cfvo type="percent" val="0"/>
        <cfvo type="percent" val="33"/>
        <cfvo type="percent" val="67"/>
      </iconSet>
    </cfRule>
  </conditionalFormatting>
  <conditionalFormatting sqref="AN3:AO24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25">
      <iconSet iconSet="3Flags">
        <cfvo type="percent" val="0"/>
        <cfvo type="percent" val="33"/>
        <cfvo type="percent" val="67"/>
      </iconSet>
    </cfRule>
  </conditionalFormatting>
  <conditionalFormatting sqref="AP3:AS24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27">
      <iconSet iconSet="3Flags">
        <cfvo type="percent" val="0"/>
        <cfvo type="percent" val="33"/>
        <cfvo type="percent" val="67"/>
      </iconSet>
    </cfRule>
  </conditionalFormatting>
  <conditionalFormatting sqref="AQ3:AS24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29">
      <iconSet iconSet="3Flags">
        <cfvo type="percent" val="0"/>
        <cfvo type="percent" val="33"/>
        <cfvo type="percent" val="67"/>
      </iconSet>
    </cfRule>
  </conditionalFormatting>
  <conditionalFormatting sqref="AT3:AV24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31">
      <iconSet iconSet="3Flags">
        <cfvo type="percent" val="0"/>
        <cfvo type="percent" val="33"/>
        <cfvo type="percent" val="67"/>
      </iconSet>
    </cfRule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33">
      <iconSet iconSet="3Flags">
        <cfvo type="percent" val="0"/>
        <cfvo type="percent" val="33"/>
        <cfvo type="percent" val="67"/>
      </iconSet>
    </cfRule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35">
      <iconSet iconSet="3Flags">
        <cfvo type="percent" val="0"/>
        <cfvo type="percent" val="33"/>
        <cfvo type="percent" val="67"/>
      </iconSet>
    </cfRule>
  </conditionalFormatting>
  <conditionalFormatting sqref="AW3:AW24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X24 V3:V24 C3:C24">
    <cfRule type="iconSet" priority="237">
      <iconSet iconSet="3Flags">
        <cfvo type="percent" val="0"/>
        <cfvo type="percent" val="33"/>
        <cfvo type="percent" val="67"/>
      </iconSet>
    </cfRule>
  </conditionalFormatting>
  <conditionalFormatting sqref="AX3:AX24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24">
    <cfRule type="iconSet" priority="239">
      <iconSet iconSet="3Symbols2">
        <cfvo type="percent" val="0"/>
        <cfvo type="percent" val="33"/>
        <cfvo type="percent" val="67"/>
      </iconSet>
    </cfRule>
  </conditionalFormatting>
  <conditionalFormatting sqref="AZ22:AZ23 BB22:BG23">
    <cfRule type="dataBar" priority="2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{E20242A6-CE20-4332-B392-C55A79EBB403}</x14:id>
        </ext>
      </extLst>
    </cfRule>
  </conditionalFormatting>
  <conditionalFormatting sqref="AZ22:AZ23">
    <cfRule type="colorScale" priority="206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{893ECCB0-D1F1-47C7-98E0-E21FF370C701}</x14:id>
        </ext>
      </extLst>
    </cfRule>
  </conditionalFormatting>
  <conditionalFormatting sqref="AZ3:BB21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:BG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:BA23">
    <cfRule type="colorScale" priority="209">
      <colorScale>
        <cfvo type="min"/>
        <cfvo type="max"/>
        <color rgb="FFF8696B"/>
        <color rgb="FFFCFCFF"/>
      </colorScale>
    </cfRule>
  </conditionalFormatting>
  <conditionalFormatting sqref="BB22:BF23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G21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2:BG23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:BF21 BC3:BE3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:BG21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:BM21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4:BM21 BI3:BM3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4:BM23 BI3:BM3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:BN23">
    <cfRule type="colorScale" priority="2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6">
      <colorScale>
        <cfvo type="min"/>
        <cfvo type="max"/>
        <color rgb="FF63BE7B"/>
        <color rgb="FFFFEF9C"/>
      </colorScale>
    </cfRule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2:BN23">
    <cfRule type="colorScale" priority="24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:BS21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:BS23 BP3:BS3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BT23">
    <cfRule type="colorScale" priority="2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5">
      <colorScale>
        <cfvo type="min"/>
        <cfvo type="max"/>
        <color rgb="FF63BE7B"/>
        <color rgb="FFFFEF9C"/>
      </colorScale>
    </cfRule>
  </conditionalFormatting>
  <conditionalFormatting sqref="BT22:BZ23 BT3:BT21 BZ3:BZ21 CA3:CC23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:BY21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4:BY21 BV3:BY3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4:BY23 BV3:BY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2:CD23 BU4:BY21 BV3:BY3 BZ3:CF21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3:BZ23">
    <cfRule type="colorScale" priority="2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4">
      <colorScale>
        <cfvo type="min"/>
        <cfvo type="max"/>
        <color rgb="FF63BE7B"/>
        <color rgb="FFFFEF9C"/>
      </colorScale>
    </cfRule>
    <cfRule type="colorScale" priority="2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6">
      <colorScale>
        <cfvo type="min"/>
        <cfvo type="max"/>
        <color rgb="FF63BE7B"/>
        <color rgb="FFFFEF9C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3:CC23">
    <cfRule type="colorScale" priority="2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D22:CD23 CD3:CF21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3:CF21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22:CF23 CE3:CE21"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F3:CF21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4:CF23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3:CG23">
    <cfRule type="colorScale" priority="2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3:CI21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4:CI2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4:CI23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2:CI23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J3:CJ23">
    <cfRule type="colorScale" priority="2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K3:CL2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:CL21 CL3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:CL23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22:CL23"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M3:CM23">
    <cfRule type="colorScale" priority="3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M22:CM23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3:CN21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4:CN21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8:CS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2:CS23 CN4:CN21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2:CS23">
    <cfRule type="dataBar" priority="3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{F8187DC6-5DD2-46A2-A81D-0FA257F71745}</x14:id>
        </ext>
      </extLst>
    </cfRule>
  </conditionalFormatting>
  <conditionalFormatting sqref="CO22:CO23">
    <cfRule type="dataBar" priority="3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{D47814C0-87B7-43D4-918C-0D7E4B6D6519}</x14:id>
        </ext>
      </extLst>
    </cfRule>
  </conditionalFormatting>
  <conditionalFormatting sqref="CT3:CT23">
    <cfRule type="colorScale" priority="3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U3:CX5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{EF7E2EF2-110F-4BC0-93D5-7218B5949E15}</x14:id>
        </ext>
      </extLst>
    </cfRule>
  </conditionalFormatting>
  <conditionalFormatting sqref="CU4:CX5 CV3:CX3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4:DA5 CW3:CX3 CZ3:DA3 CU22:DA23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6:DA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3:CV5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4:CX5 CW3:CX3 CU22:CX23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3:DA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{24052262-FA01-4BDA-A0C0-06CC2D246BB4}</x14:id>
        </ext>
      </extLst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4:DA5 CZ3:DA3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75735-3238-4717-B8BC-65AEEE5112C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A3:B3</xm:sqref>
        </x14:conditionalFormatting>
        <x14:conditionalFormatting xmlns:xm="http://schemas.microsoft.com/office/excel/2006/main">
          <x14:cfRule type="dataBar" id="{D9959E23-35E4-44CA-AD65-336FAE84B8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A4:B4</xm:sqref>
        </x14:conditionalFormatting>
        <x14:conditionalFormatting xmlns:xm="http://schemas.microsoft.com/office/excel/2006/main">
          <x14:cfRule type="dataBar" id="{C0D2DEE4-1D2B-42C8-B653-A165927990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A6:B6</xm:sqref>
        </x14:conditionalFormatting>
        <x14:conditionalFormatting xmlns:xm="http://schemas.microsoft.com/office/excel/2006/main">
          <x14:cfRule type="dataBar" id="{1558FFB1-AD71-4707-8D5D-9E69C8985D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A20:B20</xm:sqref>
        </x14:conditionalFormatting>
        <x14:conditionalFormatting xmlns:xm="http://schemas.microsoft.com/office/excel/2006/main">
          <x14:cfRule type="dataBar" id="{6D7F07D4-88B4-4B83-A107-C3331526883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B3:B21</xm:sqref>
        </x14:conditionalFormatting>
        <x14:conditionalFormatting xmlns:xm="http://schemas.microsoft.com/office/excel/2006/main">
          <x14:cfRule type="dataBar" id="{E20242A6-CE20-4332-B392-C55A79EBB4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AZ22:AZ23 BB22:BG23</xm:sqref>
        </x14:conditionalFormatting>
        <x14:conditionalFormatting xmlns:xm="http://schemas.microsoft.com/office/excel/2006/main">
          <x14:cfRule type="dataBar" id="{893ECCB0-D1F1-47C7-98E0-E21FF370C70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AZ22:AZ23</xm:sqref>
        </x14:conditionalFormatting>
        <x14:conditionalFormatting xmlns:xm="http://schemas.microsoft.com/office/excel/2006/main">
          <x14:cfRule type="dataBar" id="{F8187DC6-5DD2-46A2-A81D-0FA257F71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CN22:CS23</xm:sqref>
        </x14:conditionalFormatting>
        <x14:conditionalFormatting xmlns:xm="http://schemas.microsoft.com/office/excel/2006/main">
          <x14:cfRule type="dataBar" id="{D47814C0-87B7-43D4-918C-0D7E4B6D65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CO22:CO23</xm:sqref>
        </x14:conditionalFormatting>
        <x14:conditionalFormatting xmlns:xm="http://schemas.microsoft.com/office/excel/2006/main">
          <x14:cfRule type="dataBar" id="{EF7E2EF2-110F-4BC0-93D5-7218B5949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CU3:CX5</xm:sqref>
        </x14:conditionalFormatting>
        <x14:conditionalFormatting xmlns:xm="http://schemas.microsoft.com/office/excel/2006/main">
          <x14:cfRule type="dataBar" id="{24052262-FA01-4BDA-A0C0-06CC2D246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CY3:DA5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Spring2025</vt:lpstr>
      <vt:lpstr>Spring2025!_Hlk190512290</vt:lpstr>
      <vt:lpstr>Spring2025!_Hlk190543252</vt:lpstr>
      <vt:lpstr>Spring2025!_Hlk190543428</vt:lpstr>
      <vt:lpstr>Spring2025!_Hlk190557040</vt:lpstr>
    </vt:vector>
  </TitlesOfParts>
  <Company>Davidson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Bullock, Graham</dc:creator>
  <cp:lastModifiedBy>Bullock, Graham</cp:lastModifiedBy>
  <dcterms:created xsi:type="dcterms:W3CDTF">2026-01-13T05:52:01Z</dcterms:created>
  <dcterms:modified xsi:type="dcterms:W3CDTF">2026-01-13T05:54:31Z</dcterms:modified>
</cp:coreProperties>
</file>